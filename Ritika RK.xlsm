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pivotTables/pivotTable1.xml" ContentType="application/vnd.openxmlformats-officedocument.spreadsheetml.pivotTable+xml"/>
  <Override PartName="/xl/drawings/drawing3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4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924" codeName="{E757BCB4-07E6-AE0B-56E0-F0EEF7A6E26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Ritika\OneDrive\Documents\"/>
    </mc:Choice>
  </mc:AlternateContent>
  <xr:revisionPtr revIDLastSave="0" documentId="13_ncr:1_{D329AE34-A0D4-4CD5-9F60-3D06CDD7103A}" xr6:coauthVersionLast="47" xr6:coauthVersionMax="47" xr10:uidLastSave="{00000000-0000-0000-0000-000000000000}"/>
  <bookViews>
    <workbookView xWindow="-108" yWindow="-108" windowWidth="23256" windowHeight="12456" firstSheet="1" activeTab="8" xr2:uid="{CF581184-CC37-4791-92B1-7371F30E2508}"/>
  </bookViews>
  <sheets>
    <sheet name="Sheet1" sheetId="1" r:id="rId1"/>
    <sheet name="Sheet2" sheetId="2" r:id="rId2"/>
    <sheet name="Sheet3" sheetId="3" r:id="rId3"/>
    <sheet name="Sheet4" sheetId="4" r:id="rId4"/>
    <sheet name="Sheet5" sheetId="5" r:id="rId5"/>
    <sheet name="Sheet11" sheetId="17" r:id="rId6"/>
    <sheet name="Sheet6" sheetId="11" r:id="rId7"/>
    <sheet name="Sheet7" sheetId="7" r:id="rId8"/>
    <sheet name="Sheet9" sheetId="14" r:id="rId9"/>
    <sheet name="Sheet8" sheetId="15" r:id="rId10"/>
    <sheet name="Sheet10" sheetId="16" r:id="rId11"/>
  </sheets>
  <definedNames>
    <definedName name="_xlnm._FilterDatabase" localSheetId="0" hidden="1">Sheet1!$A$1:$C$9</definedName>
    <definedName name="_xlnm.Criteria" localSheetId="0">Sheet1!$F$1:$F$2</definedName>
    <definedName name="_xlnm.Extract" localSheetId="0">Sheet1!$I$1:$J$1</definedName>
  </definedNames>
  <calcPr calcId="191029"/>
  <pivotCaches>
    <pivotCache cacheId="0" r:id="rId12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I6" i="15" l="1"/>
  <c r="O3" i="4"/>
  <c r="N3" i="4"/>
  <c r="M3" i="4"/>
  <c r="L3" i="4"/>
  <c r="J2" i="2"/>
  <c r="I2" i="2"/>
  <c r="D22" i="5"/>
  <c r="J13" i="16"/>
  <c r="J10" i="16"/>
  <c r="J7" i="16"/>
  <c r="J4" i="16"/>
  <c r="H8" i="16"/>
  <c r="H5" i="16"/>
  <c r="R3" i="5"/>
  <c r="I8" i="15"/>
  <c r="I5" i="15"/>
  <c r="I4" i="15"/>
  <c r="I3" i="15"/>
  <c r="I2" i="15"/>
  <c r="F10" i="15"/>
  <c r="F8" i="15"/>
  <c r="F6" i="15"/>
  <c r="F4" i="15"/>
  <c r="F2" i="15"/>
  <c r="D31" i="5"/>
  <c r="E12" i="7"/>
  <c r="E11" i="7"/>
  <c r="E10" i="7"/>
  <c r="E9" i="7"/>
  <c r="E8" i="7"/>
  <c r="E7" i="7"/>
  <c r="E6" i="7"/>
  <c r="E5" i="7"/>
  <c r="E4" i="7"/>
  <c r="E3" i="7"/>
  <c r="E2" i="7"/>
  <c r="O15" i="5"/>
  <c r="M15" i="5"/>
  <c r="L15" i="5"/>
  <c r="K15" i="5"/>
  <c r="I15" i="5"/>
  <c r="J15" i="5" s="1"/>
  <c r="H15" i="5"/>
  <c r="N15" i="5" s="1"/>
  <c r="M14" i="5"/>
  <c r="L14" i="5"/>
  <c r="K14" i="5"/>
  <c r="I14" i="5"/>
  <c r="J14" i="5" s="1"/>
  <c r="H14" i="5"/>
  <c r="N14" i="5" s="1"/>
  <c r="M13" i="5"/>
  <c r="L13" i="5"/>
  <c r="K13" i="5"/>
  <c r="I13" i="5"/>
  <c r="J13" i="5" s="1"/>
  <c r="H13" i="5"/>
  <c r="N13" i="5" s="1"/>
  <c r="O12" i="5"/>
  <c r="M12" i="5"/>
  <c r="L12" i="5"/>
  <c r="K12" i="5"/>
  <c r="I12" i="5"/>
  <c r="J12" i="5" s="1"/>
  <c r="H12" i="5"/>
  <c r="N12" i="5" s="1"/>
  <c r="O11" i="5"/>
  <c r="M11" i="5"/>
  <c r="L11" i="5"/>
  <c r="K11" i="5"/>
  <c r="I11" i="5"/>
  <c r="J11" i="5" s="1"/>
  <c r="H11" i="5"/>
  <c r="N11" i="5" s="1"/>
  <c r="M10" i="5"/>
  <c r="L10" i="5"/>
  <c r="K10" i="5"/>
  <c r="I10" i="5"/>
  <c r="J10" i="5" s="1"/>
  <c r="H10" i="5"/>
  <c r="N10" i="5" s="1"/>
  <c r="M9" i="5"/>
  <c r="L9" i="5"/>
  <c r="K9" i="5"/>
  <c r="I9" i="5"/>
  <c r="J9" i="5" s="1"/>
  <c r="H9" i="5"/>
  <c r="N9" i="5" s="1"/>
  <c r="O8" i="5"/>
  <c r="M8" i="5"/>
  <c r="L8" i="5"/>
  <c r="K8" i="5"/>
  <c r="I8" i="5"/>
  <c r="J8" i="5" s="1"/>
  <c r="H8" i="5"/>
  <c r="N8" i="5" s="1"/>
  <c r="M7" i="5"/>
  <c r="L7" i="5"/>
  <c r="K7" i="5"/>
  <c r="I7" i="5"/>
  <c r="J7" i="5" s="1"/>
  <c r="H7" i="5"/>
  <c r="N7" i="5" s="1"/>
  <c r="M6" i="5"/>
  <c r="L6" i="5"/>
  <c r="K6" i="5"/>
  <c r="I6" i="5"/>
  <c r="J6" i="5" s="1"/>
  <c r="H6" i="5"/>
  <c r="N6" i="5" s="1"/>
  <c r="M5" i="5"/>
  <c r="L5" i="5"/>
  <c r="K5" i="5"/>
  <c r="I5" i="5"/>
  <c r="J5" i="5" s="1"/>
  <c r="H5" i="5"/>
  <c r="N5" i="5" s="1"/>
  <c r="M4" i="5"/>
  <c r="L4" i="5"/>
  <c r="K4" i="5"/>
  <c r="I4" i="5"/>
  <c r="J4" i="5" s="1"/>
  <c r="H4" i="5"/>
  <c r="N4" i="5" s="1"/>
  <c r="M3" i="5"/>
  <c r="L3" i="5"/>
  <c r="K3" i="5"/>
  <c r="I3" i="5"/>
  <c r="J3" i="5" s="1"/>
  <c r="H3" i="5"/>
  <c r="N3" i="5" s="1"/>
  <c r="R15" i="4"/>
  <c r="Q15" i="4"/>
  <c r="P15" i="4"/>
  <c r="O15" i="4"/>
  <c r="N15" i="4"/>
  <c r="M15" i="4"/>
  <c r="L15" i="4"/>
  <c r="H15" i="4"/>
  <c r="F15" i="4"/>
  <c r="R14" i="4"/>
  <c r="Q14" i="4"/>
  <c r="P14" i="4"/>
  <c r="O14" i="4"/>
  <c r="N14" i="4"/>
  <c r="M14" i="4"/>
  <c r="L14" i="4"/>
  <c r="H14" i="4"/>
  <c r="F14" i="4"/>
  <c r="R13" i="4"/>
  <c r="Q13" i="4"/>
  <c r="P13" i="4"/>
  <c r="O13" i="4"/>
  <c r="N13" i="4"/>
  <c r="M13" i="4"/>
  <c r="L13" i="4"/>
  <c r="H13" i="4"/>
  <c r="F13" i="4"/>
  <c r="R12" i="4"/>
  <c r="Q12" i="4"/>
  <c r="P12" i="4"/>
  <c r="O12" i="4"/>
  <c r="N12" i="4"/>
  <c r="M12" i="4"/>
  <c r="L12" i="4"/>
  <c r="H12" i="4"/>
  <c r="F12" i="4"/>
  <c r="R11" i="4"/>
  <c r="Q11" i="4"/>
  <c r="P11" i="4"/>
  <c r="O11" i="4"/>
  <c r="N11" i="4"/>
  <c r="M11" i="4"/>
  <c r="L11" i="4"/>
  <c r="H11" i="4"/>
  <c r="F11" i="4"/>
  <c r="R10" i="4"/>
  <c r="Q10" i="4"/>
  <c r="P10" i="4"/>
  <c r="O10" i="4"/>
  <c r="N10" i="4"/>
  <c r="M10" i="4"/>
  <c r="L10" i="4"/>
  <c r="H10" i="4"/>
  <c r="F10" i="4"/>
  <c r="R9" i="4"/>
  <c r="Q9" i="4"/>
  <c r="P9" i="4"/>
  <c r="O9" i="4"/>
  <c r="N9" i="4"/>
  <c r="M9" i="4"/>
  <c r="L9" i="4"/>
  <c r="H9" i="4"/>
  <c r="F9" i="4"/>
  <c r="R8" i="4"/>
  <c r="Q8" i="4"/>
  <c r="P8" i="4"/>
  <c r="O8" i="4"/>
  <c r="N8" i="4"/>
  <c r="M8" i="4"/>
  <c r="L8" i="4"/>
  <c r="H8" i="4"/>
  <c r="F8" i="4"/>
  <c r="R7" i="4"/>
  <c r="Q7" i="4"/>
  <c r="P7" i="4"/>
  <c r="O7" i="4"/>
  <c r="N7" i="4"/>
  <c r="M7" i="4"/>
  <c r="L7" i="4"/>
  <c r="H7" i="4"/>
  <c r="F7" i="4"/>
  <c r="R6" i="4"/>
  <c r="Q6" i="4"/>
  <c r="P6" i="4"/>
  <c r="O6" i="4"/>
  <c r="N6" i="4"/>
  <c r="M6" i="4"/>
  <c r="L6" i="4"/>
  <c r="H6" i="4"/>
  <c r="F6" i="4"/>
  <c r="R5" i="4"/>
  <c r="Q5" i="4"/>
  <c r="P5" i="4"/>
  <c r="O5" i="4"/>
  <c r="N5" i="4"/>
  <c r="M5" i="4"/>
  <c r="L5" i="4"/>
  <c r="H5" i="4"/>
  <c r="F5" i="4"/>
  <c r="R4" i="4"/>
  <c r="Q4" i="4"/>
  <c r="P4" i="4"/>
  <c r="O4" i="4"/>
  <c r="N4" i="4"/>
  <c r="M4" i="4"/>
  <c r="L4" i="4"/>
  <c r="H4" i="4"/>
  <c r="F4" i="4"/>
  <c r="R3" i="4"/>
  <c r="Q3" i="4"/>
  <c r="P3" i="4"/>
  <c r="H3" i="4"/>
  <c r="F3" i="4"/>
  <c r="D26" i="3"/>
  <c r="D18" i="3"/>
  <c r="D10" i="3"/>
  <c r="D2" i="3"/>
  <c r="M10" i="2"/>
  <c r="K10" i="2"/>
  <c r="J10" i="2"/>
  <c r="I10" i="2"/>
  <c r="L10" i="2" s="1"/>
  <c r="N10" i="2" s="1"/>
  <c r="H10" i="2"/>
  <c r="M9" i="2"/>
  <c r="K9" i="2"/>
  <c r="J9" i="2"/>
  <c r="L9" i="2" s="1"/>
  <c r="N9" i="2" s="1"/>
  <c r="I9" i="2"/>
  <c r="H9" i="2"/>
  <c r="M8" i="2"/>
  <c r="K8" i="2"/>
  <c r="L8" i="2" s="1"/>
  <c r="N8" i="2" s="1"/>
  <c r="J8" i="2"/>
  <c r="I8" i="2"/>
  <c r="H8" i="2"/>
  <c r="M7" i="2"/>
  <c r="L7" i="2"/>
  <c r="N7" i="2" s="1"/>
  <c r="K7" i="2"/>
  <c r="J7" i="2"/>
  <c r="I7" i="2"/>
  <c r="H7" i="2"/>
  <c r="M6" i="2"/>
  <c r="K6" i="2"/>
  <c r="J6" i="2"/>
  <c r="I6" i="2"/>
  <c r="H6" i="2"/>
  <c r="L6" i="2" s="1"/>
  <c r="N6" i="2" s="1"/>
  <c r="M5" i="2"/>
  <c r="K5" i="2"/>
  <c r="J5" i="2"/>
  <c r="I5" i="2"/>
  <c r="H5" i="2"/>
  <c r="L5" i="2" s="1"/>
  <c r="N5" i="2" s="1"/>
  <c r="M4" i="2"/>
  <c r="L4" i="2"/>
  <c r="N4" i="2" s="1"/>
  <c r="O4" i="2" s="1"/>
  <c r="P4" i="2" s="1"/>
  <c r="K4" i="2"/>
  <c r="J4" i="2"/>
  <c r="I4" i="2"/>
  <c r="H4" i="2"/>
  <c r="M3" i="2"/>
  <c r="K3" i="2"/>
  <c r="J3" i="2"/>
  <c r="I3" i="2"/>
  <c r="H3" i="2"/>
  <c r="L3" i="2" s="1"/>
  <c r="N3" i="2" s="1"/>
  <c r="M2" i="2"/>
  <c r="K2" i="2"/>
  <c r="L2" i="2" s="1"/>
  <c r="N2" i="2" s="1"/>
  <c r="H2" i="2"/>
  <c r="O8" i="2" l="1"/>
  <c r="P8" i="2" s="1"/>
  <c r="O9" i="2"/>
  <c r="P9" i="2" s="1"/>
  <c r="O10" i="2"/>
  <c r="P10" i="2" s="1"/>
  <c r="O5" i="2"/>
  <c r="P5" i="2" s="1"/>
  <c r="O6" i="2"/>
  <c r="P6" i="2" s="1"/>
  <c r="O3" i="2"/>
  <c r="P3" i="2" s="1"/>
  <c r="O7" i="2"/>
  <c r="P7" i="2"/>
  <c r="O2" i="2"/>
  <c r="P2" i="2" s="1"/>
  <c r="O14" i="5"/>
  <c r="O4" i="5"/>
  <c r="O7" i="5"/>
  <c r="O6" i="5"/>
  <c r="O3" i="5"/>
  <c r="O10" i="5"/>
  <c r="O5" i="5"/>
  <c r="O9" i="5"/>
  <c r="O13" i="5"/>
  <c r="F31" i="5"/>
  <c r="G31" i="5"/>
  <c r="D27" i="5"/>
  <c r="D30" i="5"/>
  <c r="D29" i="5"/>
  <c r="D28" i="5"/>
  <c r="G28" i="5" l="1"/>
  <c r="F28" i="5"/>
  <c r="F29" i="5"/>
  <c r="G29" i="5"/>
  <c r="G30" i="5"/>
  <c r="F30" i="5"/>
  <c r="G27" i="5"/>
  <c r="F27" i="5"/>
  <c r="D32" i="5"/>
  <c r="D34" i="5" s="1"/>
  <c r="F34" i="5" s="1"/>
</calcChain>
</file>

<file path=xl/sharedStrings.xml><?xml version="1.0" encoding="utf-8"?>
<sst xmlns="http://schemas.openxmlformats.org/spreadsheetml/2006/main" count="297" uniqueCount="194">
  <si>
    <t>Name</t>
  </si>
  <si>
    <t>Class</t>
  </si>
  <si>
    <t>Sub</t>
  </si>
  <si>
    <t>A</t>
  </si>
  <si>
    <t>B</t>
  </si>
  <si>
    <t>C</t>
  </si>
  <si>
    <t>D</t>
  </si>
  <si>
    <t>Hindi</t>
  </si>
  <si>
    <t>Eng</t>
  </si>
  <si>
    <t>Math</t>
  </si>
  <si>
    <t>Sci</t>
  </si>
  <si>
    <t>Employ Name</t>
  </si>
  <si>
    <t xml:space="preserve">Basic Salary </t>
  </si>
  <si>
    <t>DA</t>
  </si>
  <si>
    <t>HRA</t>
  </si>
  <si>
    <t>CCA</t>
  </si>
  <si>
    <t xml:space="preserve">GROSS SALARY </t>
  </si>
  <si>
    <t>PF</t>
  </si>
  <si>
    <t xml:space="preserve">TEXABLE SALARY </t>
  </si>
  <si>
    <t>SALARY AFTER TDS</t>
  </si>
  <si>
    <t>TDS</t>
  </si>
  <si>
    <t>E</t>
  </si>
  <si>
    <t>F</t>
  </si>
  <si>
    <t>G</t>
  </si>
  <si>
    <t>H</t>
  </si>
  <si>
    <t>I</t>
  </si>
  <si>
    <t>of basic salary</t>
  </si>
  <si>
    <t>HRA 3500 of basic salary if basic salary is less than 10000 and 5500 for others</t>
  </si>
  <si>
    <t>Bonous 7.11% of basic plus DA and should not exeed 2500</t>
  </si>
  <si>
    <t>PF deductable 10% of DA and Basic</t>
  </si>
  <si>
    <t>Item</t>
  </si>
  <si>
    <t>Price</t>
  </si>
  <si>
    <t>Keyboard</t>
  </si>
  <si>
    <t>Mouse</t>
  </si>
  <si>
    <t>Cpu</t>
  </si>
  <si>
    <t>Wireless Mouse</t>
  </si>
  <si>
    <t>Hand Disk</t>
  </si>
  <si>
    <t>Employe</t>
  </si>
  <si>
    <t>Salary</t>
  </si>
  <si>
    <t xml:space="preserve">Employe 1 </t>
  </si>
  <si>
    <t>Employe 2</t>
  </si>
  <si>
    <t>Employe 3</t>
  </si>
  <si>
    <t>Employe 4</t>
  </si>
  <si>
    <t>Increment of 5%</t>
  </si>
  <si>
    <t>Increment of 10%</t>
  </si>
  <si>
    <t>Decrement of 5%</t>
  </si>
  <si>
    <t>Dedduction of 10%</t>
  </si>
  <si>
    <t>id</t>
  </si>
  <si>
    <t>Company Name</t>
  </si>
  <si>
    <t>NEXT IN</t>
  </si>
  <si>
    <t>CA</t>
  </si>
  <si>
    <t>MANAGER</t>
  </si>
  <si>
    <t>MMAN</t>
  </si>
  <si>
    <t>F.MAN</t>
  </si>
  <si>
    <t>EMPLOY</t>
  </si>
  <si>
    <t>PER DAY SALARY</t>
  </si>
  <si>
    <t>PER HOURS</t>
  </si>
  <si>
    <t>DA 14%</t>
  </si>
  <si>
    <t>TDS 10%</t>
  </si>
  <si>
    <t>D.A</t>
  </si>
  <si>
    <t>C.A</t>
  </si>
  <si>
    <t>T.A</t>
  </si>
  <si>
    <t>ES101</t>
  </si>
  <si>
    <t>ES102</t>
  </si>
  <si>
    <t>ES103</t>
  </si>
  <si>
    <t>ES104</t>
  </si>
  <si>
    <t>ES105</t>
  </si>
  <si>
    <t>ES106</t>
  </si>
  <si>
    <t>ES107</t>
  </si>
  <si>
    <t>ES108</t>
  </si>
  <si>
    <t>ES109</t>
  </si>
  <si>
    <t>ES110</t>
  </si>
  <si>
    <t>ES111</t>
  </si>
  <si>
    <t>ES112</t>
  </si>
  <si>
    <t>ES113</t>
  </si>
  <si>
    <t xml:space="preserve">Raj </t>
  </si>
  <si>
    <t xml:space="preserve">Aman </t>
  </si>
  <si>
    <t xml:space="preserve">Rohit </t>
  </si>
  <si>
    <t>Reeta</t>
  </si>
  <si>
    <t>Nishant</t>
  </si>
  <si>
    <t xml:space="preserve">Mohan </t>
  </si>
  <si>
    <t xml:space="preserve">Harsh </t>
  </si>
  <si>
    <t>Subham</t>
  </si>
  <si>
    <t>Shany</t>
  </si>
  <si>
    <t>Saurav</t>
  </si>
  <si>
    <t>Neeta</t>
  </si>
  <si>
    <t>Amit</t>
  </si>
  <si>
    <t>Mohini</t>
  </si>
  <si>
    <t>Manager</t>
  </si>
  <si>
    <t>Assitant Manager</t>
  </si>
  <si>
    <t xml:space="preserve">Supervisor </t>
  </si>
  <si>
    <t>Staff</t>
  </si>
  <si>
    <t>Helper</t>
  </si>
  <si>
    <t>CA 4%</t>
  </si>
  <si>
    <t>MA</t>
  </si>
  <si>
    <t xml:space="preserve"> DAILY O.T HOURS</t>
  </si>
  <si>
    <t>TOTAL O.T HOURS</t>
  </si>
  <si>
    <t>O.T SALARY</t>
  </si>
  <si>
    <t>Salary Sheet</t>
  </si>
  <si>
    <t>EMP.ID</t>
  </si>
  <si>
    <t>NAME</t>
  </si>
  <si>
    <t>DESIGNATION</t>
  </si>
  <si>
    <t xml:space="preserve">BASIC SALARY </t>
  </si>
  <si>
    <t>ATT.</t>
  </si>
  <si>
    <t xml:space="preserve">SALARY </t>
  </si>
  <si>
    <t>PER HOUR OT PAY</t>
  </si>
  <si>
    <t>GROSS SALARY</t>
  </si>
  <si>
    <t>ESI</t>
  </si>
  <si>
    <t>NET SALARY</t>
  </si>
  <si>
    <t>24,ABC Street, DEF Road, Mumbai</t>
  </si>
  <si>
    <t>Report Card</t>
  </si>
  <si>
    <t>Roll No:</t>
  </si>
  <si>
    <t>Class:</t>
  </si>
  <si>
    <t>Father Name</t>
  </si>
  <si>
    <t>Subject</t>
  </si>
  <si>
    <t xml:space="preserve">English </t>
  </si>
  <si>
    <t xml:space="preserve">Math </t>
  </si>
  <si>
    <t xml:space="preserve">Science </t>
  </si>
  <si>
    <t>Computer</t>
  </si>
  <si>
    <t>MAX Marks</t>
  </si>
  <si>
    <t>Total</t>
  </si>
  <si>
    <t xml:space="preserve">Grade </t>
  </si>
  <si>
    <t xml:space="preserve">Stu Name: </t>
  </si>
  <si>
    <t>Remarks</t>
  </si>
  <si>
    <r>
      <rPr>
        <b/>
        <sz val="16"/>
        <color rgb="FFFF0000"/>
        <rFont val="Calibri"/>
        <family val="2"/>
        <scheme val="minor"/>
      </rPr>
      <t xml:space="preserve">            XYZ Primery Secondary School</t>
    </r>
    <r>
      <rPr>
        <sz val="16"/>
        <color rgb="FFFF0000"/>
        <rFont val="Calibri"/>
        <family val="2"/>
        <scheme val="minor"/>
      </rPr>
      <t xml:space="preserve"> </t>
    </r>
  </si>
  <si>
    <t>Percentage:</t>
  </si>
  <si>
    <t xml:space="preserve">Marks Obt </t>
  </si>
  <si>
    <t>Final Result:</t>
  </si>
  <si>
    <t>Sign of Principle:</t>
  </si>
  <si>
    <t>Sign of Class Teacher:</t>
  </si>
  <si>
    <t>Mother Name</t>
  </si>
  <si>
    <t>Roll No</t>
  </si>
  <si>
    <t xml:space="preserve">Accountancy </t>
  </si>
  <si>
    <t>Maths</t>
  </si>
  <si>
    <t>total</t>
  </si>
  <si>
    <t xml:space="preserve">Average </t>
  </si>
  <si>
    <t>Grade</t>
  </si>
  <si>
    <t>Max</t>
  </si>
  <si>
    <t>Min</t>
  </si>
  <si>
    <t>COUNT</t>
  </si>
  <si>
    <t xml:space="preserve">Percentage </t>
  </si>
  <si>
    <t xml:space="preserve">Akhilesh </t>
  </si>
  <si>
    <t>Ruchi</t>
  </si>
  <si>
    <t xml:space="preserve">Isha </t>
  </si>
  <si>
    <t xml:space="preserve">Chetan </t>
  </si>
  <si>
    <t>Neeti</t>
  </si>
  <si>
    <t>Chanchal</t>
  </si>
  <si>
    <t>Prity</t>
  </si>
  <si>
    <t>Richa</t>
  </si>
  <si>
    <t>Manisha</t>
  </si>
  <si>
    <t>Karan</t>
  </si>
  <si>
    <t>Madhuri</t>
  </si>
  <si>
    <t xml:space="preserve">Nitesh </t>
  </si>
  <si>
    <t>Accountancy</t>
  </si>
  <si>
    <t>Science</t>
  </si>
  <si>
    <t>s</t>
  </si>
  <si>
    <t xml:space="preserve">Name of Employs </t>
  </si>
  <si>
    <t xml:space="preserve">Department </t>
  </si>
  <si>
    <t xml:space="preserve">Sale 2020 </t>
  </si>
  <si>
    <t xml:space="preserve"> Sale 2021</t>
  </si>
  <si>
    <t>total sale</t>
  </si>
  <si>
    <t xml:space="preserve">Aditya </t>
  </si>
  <si>
    <t xml:space="preserve">Electronic </t>
  </si>
  <si>
    <t xml:space="preserve">Kamal </t>
  </si>
  <si>
    <t xml:space="preserve">Garments </t>
  </si>
  <si>
    <t xml:space="preserve">Madan </t>
  </si>
  <si>
    <t xml:space="preserve">Sawan </t>
  </si>
  <si>
    <t xml:space="preserve">Jagdeep </t>
  </si>
  <si>
    <t xml:space="preserve">Pradeep </t>
  </si>
  <si>
    <t xml:space="preserve">Funiture </t>
  </si>
  <si>
    <t xml:space="preserve">Parveen </t>
  </si>
  <si>
    <t xml:space="preserve">Sunil </t>
  </si>
  <si>
    <t xml:space="preserve">Deepak </t>
  </si>
  <si>
    <t>Row Labels</t>
  </si>
  <si>
    <t>Grand Total</t>
  </si>
  <si>
    <t xml:space="preserve">Sum of Sale 2020 </t>
  </si>
  <si>
    <t>Sum of  Sale 2021</t>
  </si>
  <si>
    <t>Stu Name</t>
  </si>
  <si>
    <t>Class.</t>
  </si>
  <si>
    <t>Email ID</t>
  </si>
  <si>
    <t>Mobile No</t>
  </si>
  <si>
    <t>Ajay</t>
  </si>
  <si>
    <t>Match</t>
  </si>
  <si>
    <t>index</t>
  </si>
  <si>
    <t>Countifs</t>
  </si>
  <si>
    <t>count</t>
  </si>
  <si>
    <t>Countif</t>
  </si>
  <si>
    <t>Counta</t>
  </si>
  <si>
    <t>H.R.A18%</t>
  </si>
  <si>
    <t>jhgfgfhhk</t>
  </si>
  <si>
    <t>Ritika</t>
  </si>
  <si>
    <t>Ritikahgf125</t>
  </si>
  <si>
    <t>kjhg</t>
  </si>
  <si>
    <t>jjjjj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</si>
</sst>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43" formatCode="_ * #,##0.00_ ;_ * \-#,##0.00_ ;_ * &quot;-&quot;??_ ;_ @_ "/>
    <numFmt numFmtId="164" formatCode="&quot;division&quot;\ #"/>
    <numFmt numFmtId="165" formatCode="&quot;$&quot;\ #"/>
    <numFmt numFmtId="166" formatCode="0.0%"/>
    <numFmt numFmtId="167" formatCode="_ * #,##0_ ;_ * \-#,##0_ ;_ * &quot;-&quot;??_ ;_ @_ "/>
  </numFmts>
  <fonts count="12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8"/>
      <color theme="1"/>
      <name val="Calibri"/>
      <family val="2"/>
      <scheme val="minor"/>
    </font>
    <font>
      <sz val="24"/>
      <color theme="0"/>
      <name val="Calibri"/>
      <family val="2"/>
      <scheme val="minor"/>
    </font>
    <font>
      <sz val="12"/>
      <color theme="1"/>
      <name val="Calibri"/>
      <family val="2"/>
      <scheme val="minor"/>
    </font>
    <font>
      <sz val="16"/>
      <color rgb="FFFF0000"/>
      <name val="Calibri"/>
      <family val="2"/>
      <scheme val="minor"/>
    </font>
    <font>
      <b/>
      <sz val="16"/>
      <color rgb="FFFF0000"/>
      <name val="Calibri"/>
      <family val="2"/>
      <scheme val="minor"/>
    </font>
    <font>
      <sz val="12"/>
      <color rgb="FFFF0000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1"/>
      <color rgb="FF000000"/>
      <name val="Calibri"/>
      <family val="2"/>
    </font>
  </fonts>
  <fills count="6">
    <fill>
      <patternFill patternType="none"/>
    </fill>
    <fill>
      <patternFill patternType="gray125"/>
    </fill>
    <fill>
      <patternFill patternType="solid">
        <fgColor rgb="FFFF0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8" tint="0.39997558519241921"/>
        <bgColor indexed="64"/>
      </patternFill>
    </fill>
  </fills>
  <borders count="1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/>
      <bottom style="thin">
        <color theme="1"/>
      </bottom>
      <diagonal/>
    </border>
    <border>
      <left/>
      <right/>
      <top style="medium">
        <color theme="1"/>
      </top>
      <bottom/>
      <diagonal/>
    </border>
    <border>
      <left/>
      <right/>
      <top/>
      <bottom style="medium">
        <color theme="1"/>
      </bottom>
      <diagonal/>
    </border>
    <border>
      <left style="thin">
        <color theme="1"/>
      </left>
      <right style="thin">
        <color theme="1"/>
      </right>
      <top style="thin">
        <color theme="1"/>
      </top>
      <bottom style="thin">
        <color theme="1"/>
      </bottom>
      <diagonal/>
    </border>
    <border>
      <left style="medium">
        <color theme="1"/>
      </left>
      <right/>
      <top style="medium">
        <color theme="1"/>
      </top>
      <bottom/>
      <diagonal/>
    </border>
    <border>
      <left/>
      <right style="medium">
        <color theme="1"/>
      </right>
      <top style="medium">
        <color theme="1"/>
      </top>
      <bottom/>
      <diagonal/>
    </border>
    <border>
      <left style="medium">
        <color theme="1"/>
      </left>
      <right/>
      <top/>
      <bottom/>
      <diagonal/>
    </border>
    <border>
      <left/>
      <right style="medium">
        <color theme="1"/>
      </right>
      <top/>
      <bottom/>
      <diagonal/>
    </border>
    <border>
      <left style="medium">
        <color theme="1"/>
      </left>
      <right/>
      <top/>
      <bottom style="thin">
        <color theme="1"/>
      </bottom>
      <diagonal/>
    </border>
    <border>
      <left/>
      <right style="medium">
        <color theme="1"/>
      </right>
      <top/>
      <bottom style="thin">
        <color theme="1"/>
      </bottom>
      <diagonal/>
    </border>
    <border>
      <left style="medium">
        <color theme="1"/>
      </left>
      <right style="thin">
        <color theme="1"/>
      </right>
      <top style="thin">
        <color theme="1"/>
      </top>
      <bottom style="thin">
        <color theme="1"/>
      </bottom>
      <diagonal/>
    </border>
    <border>
      <left style="thin">
        <color theme="1"/>
      </left>
      <right style="medium">
        <color theme="1"/>
      </right>
      <top style="thin">
        <color theme="1"/>
      </top>
      <bottom style="thin">
        <color theme="1"/>
      </bottom>
      <diagonal/>
    </border>
    <border>
      <left style="medium">
        <color theme="1"/>
      </left>
      <right/>
      <top/>
      <bottom style="medium">
        <color theme="1"/>
      </bottom>
      <diagonal/>
    </border>
    <border>
      <left/>
      <right style="medium">
        <color theme="1"/>
      </right>
      <top/>
      <bottom style="medium">
        <color theme="1"/>
      </bottom>
      <diagonal/>
    </border>
  </borders>
  <cellStyleXfs count="3">
    <xf numFmtId="0" fontId="0" fillId="0" borderId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</cellStyleXfs>
  <cellXfs count="57">
    <xf numFmtId="0" fontId="0" fillId="0" borderId="0" xfId="0"/>
    <xf numFmtId="0" fontId="0" fillId="0" borderId="1" xfId="0" applyBorder="1"/>
    <xf numFmtId="164" fontId="0" fillId="0" borderId="1" xfId="0" applyNumberFormat="1" applyBorder="1"/>
    <xf numFmtId="165" fontId="0" fillId="0" borderId="0" xfId="0" applyNumberFormat="1"/>
    <xf numFmtId="43" fontId="0" fillId="0" borderId="0" xfId="1" applyFont="1"/>
    <xf numFmtId="9" fontId="0" fillId="0" borderId="1" xfId="0" applyNumberFormat="1" applyBorder="1"/>
    <xf numFmtId="0" fontId="0" fillId="0" borderId="1" xfId="0" applyBorder="1" applyAlignment="1">
      <alignment vertical="center"/>
    </xf>
    <xf numFmtId="10" fontId="0" fillId="0" borderId="0" xfId="0" applyNumberFormat="1"/>
    <xf numFmtId="166" fontId="0" fillId="0" borderId="0" xfId="0" applyNumberFormat="1"/>
    <xf numFmtId="10" fontId="0" fillId="0" borderId="1" xfId="0" applyNumberFormat="1" applyBorder="1"/>
    <xf numFmtId="166" fontId="0" fillId="0" borderId="1" xfId="0" applyNumberFormat="1" applyBorder="1"/>
    <xf numFmtId="1" fontId="0" fillId="0" borderId="0" xfId="0" applyNumberFormat="1"/>
    <xf numFmtId="167" fontId="0" fillId="0" borderId="0" xfId="1" applyNumberFormat="1" applyFont="1"/>
    <xf numFmtId="167" fontId="0" fillId="0" borderId="0" xfId="0" applyNumberFormat="1"/>
    <xf numFmtId="43" fontId="0" fillId="0" borderId="0" xfId="0" applyNumberFormat="1"/>
    <xf numFmtId="1" fontId="0" fillId="0" borderId="1" xfId="0" applyNumberFormat="1" applyBorder="1"/>
    <xf numFmtId="0" fontId="3" fillId="3" borderId="1" xfId="0" applyFont="1" applyFill="1" applyBorder="1" applyAlignment="1">
      <alignment horizontal="center" vertical="center"/>
    </xf>
    <xf numFmtId="1" fontId="3" fillId="3" borderId="1" xfId="0" applyNumberFormat="1" applyFont="1" applyFill="1" applyBorder="1" applyAlignment="1">
      <alignment horizontal="center" vertical="center"/>
    </xf>
    <xf numFmtId="0" fontId="0" fillId="4" borderId="1" xfId="0" applyFill="1" applyBorder="1"/>
    <xf numFmtId="1" fontId="0" fillId="5" borderId="1" xfId="0" applyNumberFormat="1" applyFill="1" applyBorder="1"/>
    <xf numFmtId="0" fontId="0" fillId="0" borderId="5" xfId="0" applyBorder="1"/>
    <xf numFmtId="0" fontId="0" fillId="0" borderId="6" xfId="0" applyBorder="1"/>
    <xf numFmtId="0" fontId="3" fillId="0" borderId="6" xfId="0" applyFont="1" applyBorder="1" applyAlignment="1">
      <alignment horizontal="center" vertical="center"/>
    </xf>
    <xf numFmtId="0" fontId="7" fillId="0" borderId="0" xfId="0" applyFont="1" applyAlignment="1">
      <alignment horizontal="center" vertical="center"/>
    </xf>
    <xf numFmtId="0" fontId="9" fillId="0" borderId="0" xfId="0" applyFont="1" applyAlignment="1">
      <alignment vertical="center"/>
    </xf>
    <xf numFmtId="1" fontId="0" fillId="0" borderId="0" xfId="0" applyNumberFormat="1" applyAlignment="1">
      <alignment horizontal="center" vertical="center"/>
    </xf>
    <xf numFmtId="0" fontId="6" fillId="0" borderId="0" xfId="0" applyFont="1"/>
    <xf numFmtId="0" fontId="6" fillId="0" borderId="0" xfId="0" applyFont="1" applyAlignment="1">
      <alignment horizontal="center"/>
    </xf>
    <xf numFmtId="0" fontId="6" fillId="0" borderId="9" xfId="0" applyFont="1" applyBorder="1"/>
    <xf numFmtId="0" fontId="0" fillId="0" borderId="10" xfId="0" applyBorder="1"/>
    <xf numFmtId="0" fontId="0" fillId="0" borderId="9" xfId="0" applyBorder="1"/>
    <xf numFmtId="0" fontId="10" fillId="0" borderId="13" xfId="0" applyFont="1" applyBorder="1" applyAlignment="1">
      <alignment horizontal="center" vertical="center"/>
    </xf>
    <xf numFmtId="0" fontId="3" fillId="0" borderId="14" xfId="0" applyFont="1" applyBorder="1" applyAlignment="1">
      <alignment horizontal="center" vertical="center"/>
    </xf>
    <xf numFmtId="0" fontId="6" fillId="0" borderId="13" xfId="0" applyFont="1" applyBorder="1"/>
    <xf numFmtId="0" fontId="0" fillId="0" borderId="14" xfId="0" applyBorder="1"/>
    <xf numFmtId="0" fontId="0" fillId="0" borderId="13" xfId="0" applyBorder="1"/>
    <xf numFmtId="0" fontId="0" fillId="0" borderId="15" xfId="0" applyBorder="1"/>
    <xf numFmtId="0" fontId="0" fillId="0" borderId="16" xfId="0" applyBorder="1"/>
    <xf numFmtId="0" fontId="0" fillId="0" borderId="1" xfId="0" applyBorder="1" applyAlignment="1">
      <alignment horizontal="center" vertical="center"/>
    </xf>
    <xf numFmtId="9" fontId="0" fillId="0" borderId="1" xfId="2" applyFont="1" applyBorder="1"/>
    <xf numFmtId="0" fontId="0" fillId="0" borderId="0" xfId="0" pivotButton="1"/>
    <xf numFmtId="0" fontId="0" fillId="0" borderId="0" xfId="0" applyAlignment="1">
      <alignment horizontal="left"/>
    </xf>
    <xf numFmtId="0" fontId="10" fillId="0" borderId="0" xfId="0" applyFont="1"/>
    <xf numFmtId="0" fontId="3" fillId="0" borderId="0" xfId="0" applyFont="1"/>
    <xf numFmtId="0" fontId="0" fillId="0" borderId="0" xfId="0" applyAlignment="1">
      <alignment horizontal="center" vertical="center"/>
    </xf>
    <xf numFmtId="0" fontId="5" fillId="2" borderId="2" xfId="0" applyFont="1" applyFill="1" applyBorder="1" applyAlignment="1">
      <alignment horizontal="center"/>
    </xf>
    <xf numFmtId="0" fontId="4" fillId="2" borderId="2" xfId="0" applyFont="1" applyFill="1" applyBorder="1" applyAlignment="1">
      <alignment horizontal="center"/>
    </xf>
    <xf numFmtId="0" fontId="9" fillId="0" borderId="9" xfId="0" applyFont="1" applyBorder="1" applyAlignment="1">
      <alignment horizontal="center" vertical="center"/>
    </xf>
    <xf numFmtId="0" fontId="9" fillId="0" borderId="0" xfId="0" applyFont="1" applyAlignment="1">
      <alignment horizontal="center" vertical="center"/>
    </xf>
    <xf numFmtId="0" fontId="9" fillId="0" borderId="10" xfId="0" applyFont="1" applyBorder="1" applyAlignment="1">
      <alignment horizontal="center" vertical="center"/>
    </xf>
    <xf numFmtId="0" fontId="9" fillId="0" borderId="11" xfId="0" applyFont="1" applyBorder="1" applyAlignment="1">
      <alignment horizontal="center" vertical="center"/>
    </xf>
    <xf numFmtId="0" fontId="9" fillId="0" borderId="3" xfId="0" applyFont="1" applyBorder="1" applyAlignment="1">
      <alignment horizontal="center" vertical="center"/>
    </xf>
    <xf numFmtId="0" fontId="9" fillId="0" borderId="12" xfId="0" applyFont="1" applyBorder="1" applyAlignment="1">
      <alignment horizontal="center" vertical="center"/>
    </xf>
    <xf numFmtId="0" fontId="7" fillId="0" borderId="7" xfId="0" applyFont="1" applyBorder="1" applyAlignment="1">
      <alignment horizontal="center" vertical="center"/>
    </xf>
    <xf numFmtId="0" fontId="7" fillId="0" borderId="4" xfId="0" applyFont="1" applyBorder="1" applyAlignment="1">
      <alignment horizontal="center" vertical="center"/>
    </xf>
    <xf numFmtId="0" fontId="7" fillId="0" borderId="8" xfId="0" applyFont="1" applyBorder="1" applyAlignment="1">
      <alignment horizontal="center" vertical="center"/>
    </xf>
    <xf numFmtId="0" fontId="0" fillId="0" borderId="0" xfId="0"/>
  </cellXfs>
  <cellStyles count="3">
    <cellStyle name="Comma" xfId="1" builtinId="3"/>
    <cellStyle name="Normal" xfId="0" builtinId="0"/>
    <cellStyle name="Percent" xfId="2" builtinId="5"/>
  </cellStyles>
  <dxfs count="4">
    <dxf>
      <fill>
        <patternFill>
          <bgColor theme="9" tint="0.59996337778862885"/>
        </patternFill>
      </fill>
    </dxf>
    <dxf>
      <fill>
        <patternFill>
          <bgColor theme="9" tint="-0.24994659260841701"/>
        </patternFill>
      </fill>
    </dxf>
    <dxf>
      <fill>
        <patternFill>
          <bgColor theme="4" tint="0.79998168889431442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pivotCacheDefinition" Target="pivotCache/pivotCacheDefinition1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[Ritika RK.xlsm]Sheet6!PivotTable1</c:name>
    <c:fmtId val="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IN"/>
              <a:t>Sale</a:t>
            </a:r>
            <a:r>
              <a:rPr lang="en-IN" baseline="0"/>
              <a:t> Report </a:t>
            </a:r>
            <a:endParaRPr lang="en-IN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Sheet6!$B$1</c:f>
              <c:strCache>
                <c:ptCount val="1"/>
                <c:pt idx="0">
                  <c:v>Sum of Sale 2020 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Sheet6!$A$2:$A$13</c:f>
              <c:strCache>
                <c:ptCount val="11"/>
                <c:pt idx="0">
                  <c:v>Aditya </c:v>
                </c:pt>
                <c:pt idx="1">
                  <c:v>Aman </c:v>
                </c:pt>
                <c:pt idx="2">
                  <c:v>Deepak </c:v>
                </c:pt>
                <c:pt idx="3">
                  <c:v>Jagdeep </c:v>
                </c:pt>
                <c:pt idx="4">
                  <c:v>Kamal </c:v>
                </c:pt>
                <c:pt idx="5">
                  <c:v>Madan </c:v>
                </c:pt>
                <c:pt idx="6">
                  <c:v>Mohan </c:v>
                </c:pt>
                <c:pt idx="7">
                  <c:v>Parveen </c:v>
                </c:pt>
                <c:pt idx="8">
                  <c:v>Pradeep </c:v>
                </c:pt>
                <c:pt idx="9">
                  <c:v>Sawan </c:v>
                </c:pt>
                <c:pt idx="10">
                  <c:v>Sunil </c:v>
                </c:pt>
              </c:strCache>
            </c:strRef>
          </c:cat>
          <c:val>
            <c:numRef>
              <c:f>Sheet6!$B$2:$B$13</c:f>
              <c:numCache>
                <c:formatCode>General</c:formatCode>
                <c:ptCount val="11"/>
                <c:pt idx="0">
                  <c:v>19280</c:v>
                </c:pt>
                <c:pt idx="1">
                  <c:v>19290</c:v>
                </c:pt>
                <c:pt idx="2">
                  <c:v>12181</c:v>
                </c:pt>
                <c:pt idx="3">
                  <c:v>12997</c:v>
                </c:pt>
                <c:pt idx="4">
                  <c:v>15469</c:v>
                </c:pt>
                <c:pt idx="5">
                  <c:v>15307</c:v>
                </c:pt>
                <c:pt idx="6">
                  <c:v>15447</c:v>
                </c:pt>
                <c:pt idx="7">
                  <c:v>17490</c:v>
                </c:pt>
                <c:pt idx="8">
                  <c:v>16780</c:v>
                </c:pt>
                <c:pt idx="9">
                  <c:v>16323</c:v>
                </c:pt>
                <c:pt idx="10">
                  <c:v>18143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CCD2-4B1C-AC3C-09497B06E5E5}"/>
            </c:ext>
          </c:extLst>
        </c:ser>
        <c:ser>
          <c:idx val="1"/>
          <c:order val="1"/>
          <c:tx>
            <c:strRef>
              <c:f>Sheet6!$C$1</c:f>
              <c:strCache>
                <c:ptCount val="1"/>
                <c:pt idx="0">
                  <c:v>Sum of  Sale 2021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Sheet6!$A$2:$A$13</c:f>
              <c:strCache>
                <c:ptCount val="11"/>
                <c:pt idx="0">
                  <c:v>Aditya </c:v>
                </c:pt>
                <c:pt idx="1">
                  <c:v>Aman </c:v>
                </c:pt>
                <c:pt idx="2">
                  <c:v>Deepak </c:v>
                </c:pt>
                <c:pt idx="3">
                  <c:v>Jagdeep </c:v>
                </c:pt>
                <c:pt idx="4">
                  <c:v>Kamal </c:v>
                </c:pt>
                <c:pt idx="5">
                  <c:v>Madan </c:v>
                </c:pt>
                <c:pt idx="6">
                  <c:v>Mohan </c:v>
                </c:pt>
                <c:pt idx="7">
                  <c:v>Parveen </c:v>
                </c:pt>
                <c:pt idx="8">
                  <c:v>Pradeep </c:v>
                </c:pt>
                <c:pt idx="9">
                  <c:v>Sawan </c:v>
                </c:pt>
                <c:pt idx="10">
                  <c:v>Sunil </c:v>
                </c:pt>
              </c:strCache>
            </c:strRef>
          </c:cat>
          <c:val>
            <c:numRef>
              <c:f>Sheet6!$C$2:$C$13</c:f>
              <c:numCache>
                <c:formatCode>General</c:formatCode>
                <c:ptCount val="11"/>
                <c:pt idx="0">
                  <c:v>14162</c:v>
                </c:pt>
                <c:pt idx="1">
                  <c:v>14260</c:v>
                </c:pt>
                <c:pt idx="2">
                  <c:v>12244</c:v>
                </c:pt>
                <c:pt idx="3">
                  <c:v>13782</c:v>
                </c:pt>
                <c:pt idx="4">
                  <c:v>13490</c:v>
                </c:pt>
                <c:pt idx="5">
                  <c:v>18054</c:v>
                </c:pt>
                <c:pt idx="6">
                  <c:v>17845</c:v>
                </c:pt>
                <c:pt idx="7">
                  <c:v>16815</c:v>
                </c:pt>
                <c:pt idx="8">
                  <c:v>18535</c:v>
                </c:pt>
                <c:pt idx="9">
                  <c:v>15658</c:v>
                </c:pt>
                <c:pt idx="10">
                  <c:v>19515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CCD2-4B1C-AC3C-09497B06E5E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931051263"/>
        <c:axId val="1925377599"/>
      </c:barChart>
      <c:catAx>
        <c:axId val="193105126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25377599"/>
        <c:crosses val="autoZero"/>
        <c:auto val="1"/>
        <c:lblAlgn val="ctr"/>
        <c:lblOffset val="100"/>
        <c:noMultiLvlLbl val="0"/>
      </c:catAx>
      <c:valAx>
        <c:axId val="192537759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31051263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68582</xdr:colOff>
      <xdr:row>9</xdr:row>
      <xdr:rowOff>145460</xdr:rowOff>
    </xdr:from>
    <xdr:to>
      <xdr:col>4</xdr:col>
      <xdr:colOff>508040</xdr:colOff>
      <xdr:row>9</xdr:row>
      <xdr:rowOff>167639</xdr:rowOff>
    </xdr:to>
    <xdr:sp macro="Macro1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2506982" y="1791380"/>
          <a:ext cx="439458" cy="22179"/>
        </a:xfrm>
        <a:prstGeom prst="rect">
          <a:avLst/>
        </a:prstGeom>
        <a:solidFill>
          <a:schemeClr val="accent1">
            <a:lumMod val="75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1600"/>
            <a:t>Click Here</a:t>
          </a:r>
        </a:p>
      </xdr:txBody>
    </xdr:sp>
    <xdr:clientData/>
  </xdr:twoCellAnchor>
  <xdr:twoCellAnchor>
    <xdr:from>
      <xdr:col>4</xdr:col>
      <xdr:colOff>68580</xdr:colOff>
      <xdr:row>5</xdr:row>
      <xdr:rowOff>144780</xdr:rowOff>
    </xdr:from>
    <xdr:to>
      <xdr:col>6</xdr:col>
      <xdr:colOff>525780</xdr:colOff>
      <xdr:row>9</xdr:row>
      <xdr:rowOff>167640</xdr:rowOff>
    </xdr:to>
    <xdr:sp macro="" textlink="">
      <xdr:nvSpPr>
        <xdr:cNvPr id="3" name="Rectangle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2506980" y="1059180"/>
          <a:ext cx="1676400" cy="754380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indent="0" algn="ctr"/>
          <a:r>
            <a:rPr lang="en-IN" sz="1600">
              <a:solidFill>
                <a:schemeClr val="lt1">
                  <a:lumMod val="100000"/>
                </a:schemeClr>
              </a:solidFill>
              <a:latin typeface="+mn-lt"/>
              <a:ea typeface="+mn-ea"/>
              <a:cs typeface="+mn-cs"/>
            </a:rPr>
            <a:t>Click Here</a:t>
          </a:r>
        </a:p>
      </xdr:txBody>
    </xdr:sp>
    <xdr:clientData/>
  </xdr:twoCellAnchor>
  <xdr:twoCellAnchor>
    <xdr:from>
      <xdr:col>4</xdr:col>
      <xdr:colOff>68580</xdr:colOff>
      <xdr:row>5</xdr:row>
      <xdr:rowOff>144780</xdr:rowOff>
    </xdr:from>
    <xdr:to>
      <xdr:col>6</xdr:col>
      <xdr:colOff>525780</xdr:colOff>
      <xdr:row>9</xdr:row>
      <xdr:rowOff>167640</xdr:rowOff>
    </xdr:to>
    <xdr:sp macro="" textlink="">
      <xdr:nvSpPr>
        <xdr:cNvPr id="4" name="Rectangle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/>
      </xdr:nvSpPr>
      <xdr:spPr>
        <a:xfrm>
          <a:off x="2506980" y="1059180"/>
          <a:ext cx="1676400" cy="754380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indent="0" algn="ctr"/>
          <a:r>
            <a:rPr lang="en-IN" sz="1600">
              <a:solidFill>
                <a:schemeClr val="lt1">
                  <a:lumMod val="100000"/>
                </a:schemeClr>
              </a:solidFill>
              <a:latin typeface="+mn-lt"/>
              <a:ea typeface="+mn-ea"/>
              <a:cs typeface="+mn-cs"/>
            </a:rPr>
            <a:t>Click Here</a:t>
          </a:r>
        </a:p>
      </xdr:txBody>
    </xdr:sp>
    <xdr:clientData/>
  </xdr:twoCellAnchor>
  <xdr:twoCellAnchor>
    <xdr:from>
      <xdr:col>4</xdr:col>
      <xdr:colOff>68580</xdr:colOff>
      <xdr:row>5</xdr:row>
      <xdr:rowOff>144780</xdr:rowOff>
    </xdr:from>
    <xdr:to>
      <xdr:col>6</xdr:col>
      <xdr:colOff>525780</xdr:colOff>
      <xdr:row>9</xdr:row>
      <xdr:rowOff>167640</xdr:rowOff>
    </xdr:to>
    <xdr:sp macro="[0]!Macro1" textlink="">
      <xdr:nvSpPr>
        <xdr:cNvPr id="5" name="Rectangle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SpPr/>
      </xdr:nvSpPr>
      <xdr:spPr>
        <a:xfrm>
          <a:off x="2506980" y="1059180"/>
          <a:ext cx="1676400" cy="754380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indent="0" algn="ctr"/>
          <a:r>
            <a:rPr lang="en-IN" sz="1600">
              <a:solidFill>
                <a:schemeClr val="lt1">
                  <a:lumMod val="100000"/>
                </a:schemeClr>
              </a:solidFill>
              <a:latin typeface="+mn-lt"/>
              <a:ea typeface="+mn-ea"/>
              <a:cs typeface="+mn-cs"/>
            </a:rPr>
            <a:t>Click Here</a:t>
          </a:r>
        </a:p>
      </xdr:txBody>
    </xdr:sp>
    <xdr:clientData/>
  </xdr:twoCellAnchor>
  <xdr:twoCellAnchor>
    <xdr:from>
      <xdr:col>4</xdr:col>
      <xdr:colOff>68580</xdr:colOff>
      <xdr:row>5</xdr:row>
      <xdr:rowOff>144780</xdr:rowOff>
    </xdr:from>
    <xdr:to>
      <xdr:col>6</xdr:col>
      <xdr:colOff>525780</xdr:colOff>
      <xdr:row>9</xdr:row>
      <xdr:rowOff>167640</xdr:rowOff>
    </xdr:to>
    <xdr:sp macro="[0]!Macro1" textlink="">
      <xdr:nvSpPr>
        <xdr:cNvPr id="6" name="Rectangle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SpPr/>
      </xdr:nvSpPr>
      <xdr:spPr>
        <a:xfrm>
          <a:off x="2506980" y="1059180"/>
          <a:ext cx="1676400" cy="754380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indent="0" algn="ctr"/>
          <a:r>
            <a:rPr lang="en-IN" sz="1600">
              <a:solidFill>
                <a:schemeClr val="lt1">
                  <a:lumMod val="100000"/>
                </a:schemeClr>
              </a:solidFill>
              <a:latin typeface="+mn-lt"/>
              <a:ea typeface="+mn-ea"/>
              <a:cs typeface="+mn-cs"/>
            </a:rPr>
            <a:t>Click Here</a:t>
          </a:r>
        </a:p>
      </xdr:txBody>
    </xdr:sp>
    <xdr:clientData/>
  </xdr:twoCellAnchor>
  <xdr:twoCellAnchor>
    <xdr:from>
      <xdr:col>4</xdr:col>
      <xdr:colOff>68580</xdr:colOff>
      <xdr:row>5</xdr:row>
      <xdr:rowOff>144780</xdr:rowOff>
    </xdr:from>
    <xdr:to>
      <xdr:col>6</xdr:col>
      <xdr:colOff>525780</xdr:colOff>
      <xdr:row>10</xdr:row>
      <xdr:rowOff>0</xdr:rowOff>
    </xdr:to>
    <xdr:sp macro="" textlink="">
      <xdr:nvSpPr>
        <xdr:cNvPr id="7" name="Rectangle 6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SpPr/>
      </xdr:nvSpPr>
      <xdr:spPr>
        <a:xfrm>
          <a:off x="2506980" y="1059180"/>
          <a:ext cx="1676400" cy="769620"/>
        </a:xfrm>
        <a:prstGeom prst="rect">
          <a:avLst/>
        </a:prstGeom>
        <a:scene3d>
          <a:camera prst="orthographicFront"/>
          <a:lightRig rig="threePt" dir="t"/>
        </a:scene3d>
        <a:sp3d>
          <a:bevelT w="152400" h="50800" prst="softRound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indent="0" algn="ctr"/>
          <a:r>
            <a:rPr lang="en-IN" sz="1600">
              <a:solidFill>
                <a:schemeClr val="lt1">
                  <a:lumMod val="100000"/>
                </a:schemeClr>
              </a:solidFill>
              <a:latin typeface="+mn-lt"/>
              <a:ea typeface="+mn-ea"/>
              <a:cs typeface="+mn-cs"/>
            </a:rPr>
            <a:t>Click Here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701040</xdr:colOff>
      <xdr:row>21</xdr:row>
      <xdr:rowOff>190500</xdr:rowOff>
    </xdr:from>
    <xdr:to>
      <xdr:col>3</xdr:col>
      <xdr:colOff>960120</xdr:colOff>
      <xdr:row>22</xdr:row>
      <xdr:rowOff>0</xdr:rowOff>
    </xdr:to>
    <xdr:cxnSp macro="">
      <xdr:nvCxnSpPr>
        <xdr:cNvPr id="5" name="Straight Connector 4">
          <a:extLst>
            <a:ext uri="{FF2B5EF4-FFF2-40B4-BE49-F238E27FC236}">
              <a16:creationId xmlns:a16="http://schemas.microsoft.com/office/drawing/2014/main" id="{00000000-0008-0000-0400-000005000000}"/>
            </a:ext>
          </a:extLst>
        </xdr:cNvPr>
        <xdr:cNvCxnSpPr/>
      </xdr:nvCxnSpPr>
      <xdr:spPr>
        <a:xfrm flipV="1">
          <a:off x="1310640" y="1234440"/>
          <a:ext cx="1013460" cy="7620"/>
        </a:xfrm>
        <a:prstGeom prst="line">
          <a:avLst/>
        </a:prstGeom>
        <a:ln w="19050">
          <a:solidFill>
            <a:sysClr val="windowText" lastClr="00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655320</xdr:colOff>
      <xdr:row>23</xdr:row>
      <xdr:rowOff>15240</xdr:rowOff>
    </xdr:from>
    <xdr:to>
      <xdr:col>4</xdr:col>
      <xdr:colOff>38100</xdr:colOff>
      <xdr:row>23</xdr:row>
      <xdr:rowOff>22860</xdr:rowOff>
    </xdr:to>
    <xdr:cxnSp macro="">
      <xdr:nvCxnSpPr>
        <xdr:cNvPr id="6" name="Straight Connector 5">
          <a:extLst>
            <a:ext uri="{FF2B5EF4-FFF2-40B4-BE49-F238E27FC236}">
              <a16:creationId xmlns:a16="http://schemas.microsoft.com/office/drawing/2014/main" id="{00000000-0008-0000-0400-000006000000}"/>
            </a:ext>
          </a:extLst>
        </xdr:cNvPr>
        <xdr:cNvCxnSpPr/>
      </xdr:nvCxnSpPr>
      <xdr:spPr>
        <a:xfrm flipV="1">
          <a:off x="1874520" y="4373880"/>
          <a:ext cx="1120140" cy="7620"/>
        </a:xfrm>
        <a:prstGeom prst="line">
          <a:avLst/>
        </a:prstGeom>
        <a:ln w="19050">
          <a:solidFill>
            <a:sysClr val="windowText" lastClr="00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487680</xdr:colOff>
      <xdr:row>24</xdr:row>
      <xdr:rowOff>22860</xdr:rowOff>
    </xdr:from>
    <xdr:to>
      <xdr:col>4</xdr:col>
      <xdr:colOff>7620</xdr:colOff>
      <xdr:row>24</xdr:row>
      <xdr:rowOff>22860</xdr:rowOff>
    </xdr:to>
    <xdr:cxnSp macro="">
      <xdr:nvCxnSpPr>
        <xdr:cNvPr id="10" name="Straight Connector 9">
          <a:extLst>
            <a:ext uri="{FF2B5EF4-FFF2-40B4-BE49-F238E27FC236}">
              <a16:creationId xmlns:a16="http://schemas.microsoft.com/office/drawing/2014/main" id="{00000000-0008-0000-0400-00000A000000}"/>
            </a:ext>
          </a:extLst>
        </xdr:cNvPr>
        <xdr:cNvCxnSpPr/>
      </xdr:nvCxnSpPr>
      <xdr:spPr>
        <a:xfrm>
          <a:off x="1706880" y="4579620"/>
          <a:ext cx="1257300" cy="0"/>
        </a:xfrm>
        <a:prstGeom prst="line">
          <a:avLst/>
        </a:prstGeom>
        <a:ln w="1905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91440</xdr:colOff>
      <xdr:row>19</xdr:row>
      <xdr:rowOff>7620</xdr:rowOff>
    </xdr:from>
    <xdr:to>
      <xdr:col>11</xdr:col>
      <xdr:colOff>7620</xdr:colOff>
      <xdr:row>19</xdr:row>
      <xdr:rowOff>7620</xdr:rowOff>
    </xdr:to>
    <xdr:cxnSp macro="">
      <xdr:nvCxnSpPr>
        <xdr:cNvPr id="14" name="Straight Connector 13">
          <a:extLst>
            <a:ext uri="{FF2B5EF4-FFF2-40B4-BE49-F238E27FC236}">
              <a16:creationId xmlns:a16="http://schemas.microsoft.com/office/drawing/2014/main" id="{00000000-0008-0000-0400-00000E000000}"/>
            </a:ext>
          </a:extLst>
        </xdr:cNvPr>
        <xdr:cNvCxnSpPr/>
      </xdr:nvCxnSpPr>
      <xdr:spPr>
        <a:xfrm>
          <a:off x="4693920" y="1417320"/>
          <a:ext cx="1097280" cy="0"/>
        </a:xfrm>
        <a:prstGeom prst="line">
          <a:avLst/>
        </a:prstGeom>
        <a:ln w="19050">
          <a:solidFill>
            <a:sysClr val="windowText" lastClr="00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175260</xdr:colOff>
      <xdr:row>22</xdr:row>
      <xdr:rowOff>190500</xdr:rowOff>
    </xdr:from>
    <xdr:to>
      <xdr:col>6</xdr:col>
      <xdr:colOff>1158240</xdr:colOff>
      <xdr:row>22</xdr:row>
      <xdr:rowOff>190500</xdr:rowOff>
    </xdr:to>
    <xdr:cxnSp macro="">
      <xdr:nvCxnSpPr>
        <xdr:cNvPr id="20" name="Straight Connector 19">
          <a:extLst>
            <a:ext uri="{FF2B5EF4-FFF2-40B4-BE49-F238E27FC236}">
              <a16:creationId xmlns:a16="http://schemas.microsoft.com/office/drawing/2014/main" id="{00000000-0008-0000-0400-000014000000}"/>
            </a:ext>
          </a:extLst>
        </xdr:cNvPr>
        <xdr:cNvCxnSpPr/>
      </xdr:nvCxnSpPr>
      <xdr:spPr>
        <a:xfrm>
          <a:off x="4777740" y="1600200"/>
          <a:ext cx="982980" cy="0"/>
        </a:xfrm>
        <a:prstGeom prst="line">
          <a:avLst/>
        </a:prstGeom>
        <a:ln w="19050">
          <a:solidFill>
            <a:sysClr val="windowText" lastClr="00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15240</xdr:colOff>
      <xdr:row>33</xdr:row>
      <xdr:rowOff>190500</xdr:rowOff>
    </xdr:from>
    <xdr:to>
      <xdr:col>3</xdr:col>
      <xdr:colOff>777240</xdr:colOff>
      <xdr:row>34</xdr:row>
      <xdr:rowOff>0</xdr:rowOff>
    </xdr:to>
    <xdr:cxnSp macro="">
      <xdr:nvCxnSpPr>
        <xdr:cNvPr id="35" name="Straight Connector 34">
          <a:extLst>
            <a:ext uri="{FF2B5EF4-FFF2-40B4-BE49-F238E27FC236}">
              <a16:creationId xmlns:a16="http://schemas.microsoft.com/office/drawing/2014/main" id="{00000000-0008-0000-0400-000023000000}"/>
            </a:ext>
          </a:extLst>
        </xdr:cNvPr>
        <xdr:cNvCxnSpPr/>
      </xdr:nvCxnSpPr>
      <xdr:spPr>
        <a:xfrm>
          <a:off x="3435773" y="6523567"/>
          <a:ext cx="762000" cy="4233"/>
        </a:xfrm>
        <a:prstGeom prst="line">
          <a:avLst/>
        </a:prstGeom>
        <a:ln w="12700">
          <a:solidFill>
            <a:sysClr val="windowText" lastClr="00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800100</xdr:colOff>
      <xdr:row>34</xdr:row>
      <xdr:rowOff>0</xdr:rowOff>
    </xdr:from>
    <xdr:to>
      <xdr:col>6</xdr:col>
      <xdr:colOff>228600</xdr:colOff>
      <xdr:row>34</xdr:row>
      <xdr:rowOff>7620</xdr:rowOff>
    </xdr:to>
    <xdr:cxnSp macro="">
      <xdr:nvCxnSpPr>
        <xdr:cNvPr id="37" name="Straight Connector 36">
          <a:extLst>
            <a:ext uri="{FF2B5EF4-FFF2-40B4-BE49-F238E27FC236}">
              <a16:creationId xmlns:a16="http://schemas.microsoft.com/office/drawing/2014/main" id="{00000000-0008-0000-0400-000025000000}"/>
            </a:ext>
          </a:extLst>
        </xdr:cNvPr>
        <xdr:cNvCxnSpPr/>
      </xdr:nvCxnSpPr>
      <xdr:spPr>
        <a:xfrm>
          <a:off x="3756660" y="3756660"/>
          <a:ext cx="906780" cy="7620"/>
        </a:xfrm>
        <a:prstGeom prst="line">
          <a:avLst/>
        </a:prstGeom>
        <a:ln w="12700">
          <a:solidFill>
            <a:sysClr val="windowText" lastClr="00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281940</xdr:colOff>
      <xdr:row>35</xdr:row>
      <xdr:rowOff>190500</xdr:rowOff>
    </xdr:from>
    <xdr:to>
      <xdr:col>4</xdr:col>
      <xdr:colOff>716280</xdr:colOff>
      <xdr:row>35</xdr:row>
      <xdr:rowOff>190500</xdr:rowOff>
    </xdr:to>
    <xdr:cxnSp macro="">
      <xdr:nvCxnSpPr>
        <xdr:cNvPr id="38" name="Straight Connector 37">
          <a:extLst>
            <a:ext uri="{FF2B5EF4-FFF2-40B4-BE49-F238E27FC236}">
              <a16:creationId xmlns:a16="http://schemas.microsoft.com/office/drawing/2014/main" id="{00000000-0008-0000-0400-000026000000}"/>
            </a:ext>
          </a:extLst>
        </xdr:cNvPr>
        <xdr:cNvCxnSpPr/>
      </xdr:nvCxnSpPr>
      <xdr:spPr>
        <a:xfrm>
          <a:off x="2331720" y="4130040"/>
          <a:ext cx="1341120" cy="0"/>
        </a:xfrm>
        <a:prstGeom prst="line">
          <a:avLst/>
        </a:prstGeom>
        <a:ln w="19050">
          <a:solidFill>
            <a:sysClr val="windowText" lastClr="00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434340</xdr:colOff>
      <xdr:row>37</xdr:row>
      <xdr:rowOff>175260</xdr:rowOff>
    </xdr:from>
    <xdr:to>
      <xdr:col>5</xdr:col>
      <xdr:colOff>0</xdr:colOff>
      <xdr:row>37</xdr:row>
      <xdr:rowOff>175260</xdr:rowOff>
    </xdr:to>
    <xdr:cxnSp macro="">
      <xdr:nvCxnSpPr>
        <xdr:cNvPr id="41" name="Straight Connector 40">
          <a:extLst>
            <a:ext uri="{FF2B5EF4-FFF2-40B4-BE49-F238E27FC236}">
              <a16:creationId xmlns:a16="http://schemas.microsoft.com/office/drawing/2014/main" id="{00000000-0008-0000-0400-000029000000}"/>
            </a:ext>
          </a:extLst>
        </xdr:cNvPr>
        <xdr:cNvCxnSpPr/>
      </xdr:nvCxnSpPr>
      <xdr:spPr>
        <a:xfrm>
          <a:off x="2484120" y="4495800"/>
          <a:ext cx="1341120" cy="0"/>
        </a:xfrm>
        <a:prstGeom prst="line">
          <a:avLst/>
        </a:prstGeom>
        <a:ln w="19050">
          <a:solidFill>
            <a:sysClr val="windowText" lastClr="00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701040</xdr:colOff>
      <xdr:row>0</xdr:row>
      <xdr:rowOff>0</xdr:rowOff>
    </xdr:from>
    <xdr:to>
      <xdr:col>10</xdr:col>
      <xdr:colOff>579120</xdr:colOff>
      <xdr:row>15</xdr:row>
      <xdr:rowOff>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403860</xdr:colOff>
          <xdr:row>12</xdr:row>
          <xdr:rowOff>167640</xdr:rowOff>
        </xdr:from>
        <xdr:to>
          <xdr:col>5</xdr:col>
          <xdr:colOff>198120</xdr:colOff>
          <xdr:row>16</xdr:row>
          <xdr:rowOff>137160</xdr:rowOff>
        </xdr:to>
        <xdr:sp macro="" textlink="">
          <xdr:nvSpPr>
            <xdr:cNvPr id="9218" name="Button 2" hidden="1">
              <a:extLst>
                <a:ext uri="{63B3BB69-23CF-44E3-9099-C40C66FF867C}">
                  <a14:compatExt spid="_x0000_s9218"/>
                </a:ext>
                <a:ext uri="{FF2B5EF4-FFF2-40B4-BE49-F238E27FC236}">
                  <a16:creationId xmlns:a16="http://schemas.microsoft.com/office/drawing/2014/main" id="{00000000-0008-0000-0900-00000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Button 2</a:t>
              </a:r>
            </a:p>
          </xdr:txBody>
        </xdr:sp>
        <xdr:clientData fPrintsWithSheet="0"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Ritika" refreshedDate="45263.685278356483" createdVersion="8" refreshedVersion="8" minRefreshableVersion="3" recordCount="11" xr:uid="{64D33A32-2117-491E-BE05-31CCB0EA1CF9}">
  <cacheSource type="worksheet">
    <worksheetSource ref="A1:E12" sheet="Sheet7"/>
  </cacheSource>
  <cacheFields count="5">
    <cacheField name="Name of Employs " numFmtId="0">
      <sharedItems count="11">
        <s v="Aditya "/>
        <s v="Kamal "/>
        <s v="Aman "/>
        <s v="Madan "/>
        <s v="Mohan "/>
        <s v="Sawan "/>
        <s v="Jagdeep "/>
        <s v="Pradeep "/>
        <s v="Parveen "/>
        <s v="Sunil "/>
        <s v="Deepak "/>
      </sharedItems>
    </cacheField>
    <cacheField name="Department " numFmtId="0">
      <sharedItems count="3">
        <s v="Electronic "/>
        <s v="Garments "/>
        <s v="Funiture "/>
      </sharedItems>
    </cacheField>
    <cacheField name="Sale 2020 " numFmtId="0">
      <sharedItems containsSemiMixedTypes="0" containsString="0" containsNumber="1" containsInteger="1" minValue="12181" maxValue="19290"/>
    </cacheField>
    <cacheField name=" Sale 2021" numFmtId="0">
      <sharedItems containsSemiMixedTypes="0" containsString="0" containsNumber="1" containsInteger="1" minValue="12244" maxValue="19515"/>
    </cacheField>
    <cacheField name="total sale" numFmtId="0">
      <sharedItems containsSemiMixedTypes="0" containsString="0" containsNumber="1" containsInteger="1" minValue="24425" maxValue="37658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1">
  <r>
    <x v="0"/>
    <x v="0"/>
    <n v="19280"/>
    <n v="14162"/>
    <n v="33442"/>
  </r>
  <r>
    <x v="1"/>
    <x v="0"/>
    <n v="15469"/>
    <n v="13490"/>
    <n v="28959"/>
  </r>
  <r>
    <x v="2"/>
    <x v="1"/>
    <n v="19290"/>
    <n v="14260"/>
    <n v="33550"/>
  </r>
  <r>
    <x v="3"/>
    <x v="0"/>
    <n v="15307"/>
    <n v="18054"/>
    <n v="33361"/>
  </r>
  <r>
    <x v="4"/>
    <x v="1"/>
    <n v="15447"/>
    <n v="17845"/>
    <n v="33292"/>
  </r>
  <r>
    <x v="5"/>
    <x v="0"/>
    <n v="16323"/>
    <n v="15658"/>
    <n v="31981"/>
  </r>
  <r>
    <x v="6"/>
    <x v="0"/>
    <n v="12997"/>
    <n v="13782"/>
    <n v="26779"/>
  </r>
  <r>
    <x v="7"/>
    <x v="2"/>
    <n v="16780"/>
    <n v="18535"/>
    <n v="35315"/>
  </r>
  <r>
    <x v="8"/>
    <x v="2"/>
    <n v="17490"/>
    <n v="16815"/>
    <n v="34305"/>
  </r>
  <r>
    <x v="9"/>
    <x v="2"/>
    <n v="18143"/>
    <n v="19515"/>
    <n v="37658"/>
  </r>
  <r>
    <x v="10"/>
    <x v="1"/>
    <n v="12181"/>
    <n v="12244"/>
    <n v="24425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2EEBD67-66E9-485A-ABE2-EBEA8478868A}" name="PivotTable1" cacheId="0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 chartFormat="11">
  <location ref="A1:C13" firstHeaderRow="0" firstDataRow="1" firstDataCol="1"/>
  <pivotFields count="5">
    <pivotField axis="axisRow" showAll="0">
      <items count="12">
        <item x="0"/>
        <item x="2"/>
        <item x="10"/>
        <item x="6"/>
        <item x="1"/>
        <item x="3"/>
        <item x="4"/>
        <item x="8"/>
        <item x="7"/>
        <item x="5"/>
        <item x="9"/>
        <item t="default"/>
      </items>
    </pivotField>
    <pivotField showAll="0">
      <items count="4">
        <item x="0"/>
        <item x="2"/>
        <item x="1"/>
        <item t="default"/>
      </items>
    </pivotField>
    <pivotField dataField="1" showAll="0"/>
    <pivotField dataField="1" showAll="0"/>
    <pivotField showAll="0"/>
  </pivotFields>
  <rowFields count="1">
    <field x="0"/>
  </rowFields>
  <rowItems count="12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 t="grand">
      <x/>
    </i>
  </rowItems>
  <colFields count="1">
    <field x="-2"/>
  </colFields>
  <colItems count="2">
    <i>
      <x/>
    </i>
    <i i="1">
      <x v="1"/>
    </i>
  </colItems>
  <dataFields count="2">
    <dataField name="Sum of Sale 2020 " fld="2" baseField="0" baseItem="0"/>
    <dataField name="Sum of  Sale 2021" fld="3" baseField="0" baseItem="0"/>
  </dataFields>
  <chartFormats count="2">
    <chartFormat chart="0" format="6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7" series="1">
      <pivotArea type="data" outline="0" fieldPosition="0">
        <references count="1">
          <reference field="4294967294" count="1" selected="0">
            <x v="1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ivotTable" Target="../pivotTables/pivotTable1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32C49F-F493-43A7-B663-3A000A2AA5FD}">
  <sheetPr codeName="Sheet1"/>
  <dimension ref="A1:J31"/>
  <sheetViews>
    <sheetView workbookViewId="0">
      <selection activeCell="B35" sqref="B35"/>
    </sheetView>
  </sheetViews>
  <sheetFormatPr defaultRowHeight="14.4" x14ac:dyDescent="0.3"/>
  <sheetData>
    <row r="1" spans="1:10" x14ac:dyDescent="0.3">
      <c r="A1" s="1" t="s">
        <v>0</v>
      </c>
      <c r="B1" s="1" t="s">
        <v>1</v>
      </c>
      <c r="C1" s="1" t="s">
        <v>2</v>
      </c>
      <c r="F1" s="1" t="s">
        <v>0</v>
      </c>
      <c r="I1" s="1" t="s">
        <v>0</v>
      </c>
      <c r="J1" s="1" t="s">
        <v>2</v>
      </c>
    </row>
    <row r="2" spans="1:10" x14ac:dyDescent="0.3">
      <c r="A2" s="1" t="s">
        <v>3</v>
      </c>
      <c r="B2" s="1">
        <v>20</v>
      </c>
      <c r="C2" s="1" t="s">
        <v>7</v>
      </c>
      <c r="F2" s="1" t="s">
        <v>4</v>
      </c>
      <c r="I2" s="1" t="s">
        <v>4</v>
      </c>
      <c r="J2" s="1" t="s">
        <v>8</v>
      </c>
    </row>
    <row r="3" spans="1:10" x14ac:dyDescent="0.3">
      <c r="A3" s="1" t="s">
        <v>4</v>
      </c>
      <c r="B3" s="1">
        <v>30</v>
      </c>
      <c r="C3" s="1" t="s">
        <v>8</v>
      </c>
      <c r="I3" s="1" t="s">
        <v>4</v>
      </c>
      <c r="J3" s="1" t="s">
        <v>8</v>
      </c>
    </row>
    <row r="4" spans="1:10" x14ac:dyDescent="0.3">
      <c r="A4" s="1" t="s">
        <v>5</v>
      </c>
      <c r="B4" s="1">
        <v>50</v>
      </c>
      <c r="C4" s="1" t="s">
        <v>9</v>
      </c>
      <c r="I4" s="1"/>
      <c r="J4" s="1"/>
    </row>
    <row r="5" spans="1:10" x14ac:dyDescent="0.3">
      <c r="A5" s="1" t="s">
        <v>6</v>
      </c>
      <c r="B5" s="1">
        <v>70</v>
      </c>
      <c r="C5" s="1" t="s">
        <v>10</v>
      </c>
      <c r="I5" s="1"/>
      <c r="J5" s="1"/>
    </row>
    <row r="6" spans="1:10" x14ac:dyDescent="0.3">
      <c r="A6" s="1" t="s">
        <v>3</v>
      </c>
      <c r="B6" s="1">
        <v>55</v>
      </c>
      <c r="C6" s="1" t="s">
        <v>7</v>
      </c>
      <c r="I6" s="1"/>
      <c r="J6" s="1"/>
    </row>
    <row r="7" spans="1:10" x14ac:dyDescent="0.3">
      <c r="A7" s="1" t="s">
        <v>4</v>
      </c>
      <c r="B7" s="1">
        <v>64</v>
      </c>
      <c r="C7" s="1" t="s">
        <v>8</v>
      </c>
    </row>
    <row r="8" spans="1:10" x14ac:dyDescent="0.3">
      <c r="A8" s="1" t="s">
        <v>5</v>
      </c>
      <c r="B8" s="1">
        <v>63</v>
      </c>
      <c r="C8" s="1" t="s">
        <v>9</v>
      </c>
      <c r="H8" s="4"/>
    </row>
    <row r="9" spans="1:10" x14ac:dyDescent="0.3">
      <c r="A9" s="1" t="s">
        <v>6</v>
      </c>
      <c r="B9" s="1">
        <v>20</v>
      </c>
      <c r="C9" s="1" t="s">
        <v>10</v>
      </c>
    </row>
    <row r="14" spans="1:10" x14ac:dyDescent="0.3">
      <c r="J14" s="3"/>
    </row>
    <row r="25" spans="1:7" x14ac:dyDescent="0.3">
      <c r="A25" s="2">
        <v>1</v>
      </c>
      <c r="C25" s="1">
        <v>58</v>
      </c>
      <c r="D25" s="1">
        <v>31</v>
      </c>
      <c r="E25" s="1">
        <v>58</v>
      </c>
      <c r="F25" s="1">
        <v>21</v>
      </c>
      <c r="G25" s="1">
        <v>30</v>
      </c>
    </row>
    <row r="26" spans="1:7" x14ac:dyDescent="0.3">
      <c r="A26" s="2">
        <v>2</v>
      </c>
      <c r="C26" s="1">
        <v>22</v>
      </c>
      <c r="D26" s="1">
        <v>23</v>
      </c>
      <c r="E26" s="1">
        <v>37</v>
      </c>
      <c r="F26" s="1">
        <v>23</v>
      </c>
      <c r="G26" s="1">
        <v>20</v>
      </c>
    </row>
    <row r="27" spans="1:7" x14ac:dyDescent="0.3">
      <c r="A27" s="2">
        <v>3</v>
      </c>
      <c r="C27" s="1">
        <v>33</v>
      </c>
      <c r="D27" s="1">
        <v>77</v>
      </c>
      <c r="E27" s="1">
        <v>73</v>
      </c>
      <c r="F27" s="1">
        <v>41</v>
      </c>
      <c r="G27" s="1">
        <v>76</v>
      </c>
    </row>
    <row r="28" spans="1:7" x14ac:dyDescent="0.3">
      <c r="A28" s="2">
        <v>4</v>
      </c>
      <c r="C28" s="1">
        <v>78</v>
      </c>
      <c r="D28" s="1">
        <v>36</v>
      </c>
      <c r="E28" s="1">
        <v>69</v>
      </c>
      <c r="F28" s="1">
        <v>61</v>
      </c>
      <c r="G28" s="1">
        <v>32</v>
      </c>
    </row>
    <row r="29" spans="1:7" x14ac:dyDescent="0.3">
      <c r="A29" s="2">
        <v>5</v>
      </c>
      <c r="C29" s="1">
        <v>67</v>
      </c>
      <c r="D29" s="1">
        <v>74</v>
      </c>
      <c r="E29" s="1">
        <v>23</v>
      </c>
      <c r="F29" s="1">
        <v>60</v>
      </c>
      <c r="G29" s="1">
        <v>67</v>
      </c>
    </row>
    <row r="30" spans="1:7" x14ac:dyDescent="0.3">
      <c r="C30" s="1">
        <v>21</v>
      </c>
      <c r="D30" s="1">
        <v>76</v>
      </c>
      <c r="E30" s="1">
        <v>76</v>
      </c>
      <c r="F30" s="1">
        <v>26</v>
      </c>
      <c r="G30" s="1">
        <v>21</v>
      </c>
    </row>
    <row r="31" spans="1:7" x14ac:dyDescent="0.3">
      <c r="C31" s="1">
        <v>32</v>
      </c>
      <c r="D31" s="1">
        <v>46</v>
      </c>
      <c r="E31" s="1">
        <v>48</v>
      </c>
      <c r="F31" s="1">
        <v>74</v>
      </c>
      <c r="G31" s="1">
        <v>48</v>
      </c>
    </row>
  </sheetData>
  <conditionalFormatting sqref="P3">
    <cfRule type="cellIs" dxfId="3" priority="2" operator="greaterThan">
      <formula>1</formula>
    </cfRule>
  </conditionalFormatting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2E392FF-B702-4A5B-853E-98610F5A56ED}">
  <sheetPr codeName="Sheet2"/>
  <dimension ref="A1:V15"/>
  <sheetViews>
    <sheetView topLeftCell="D1" workbookViewId="0">
      <selection activeCell="N13" sqref="N13"/>
    </sheetView>
  </sheetViews>
  <sheetFormatPr defaultRowHeight="14.4" x14ac:dyDescent="0.3"/>
  <cols>
    <col min="1" max="1" width="12.33203125" bestFit="1" customWidth="1"/>
    <col min="2" max="2" width="12.33203125" customWidth="1"/>
    <col min="3" max="4" width="15.33203125" customWidth="1"/>
    <col min="5" max="5" width="11" bestFit="1" customWidth="1"/>
    <col min="6" max="6" width="15.33203125" customWidth="1"/>
    <col min="7" max="7" width="12.77734375" customWidth="1"/>
    <col min="8" max="8" width="8.109375" customWidth="1"/>
    <col min="9" max="9" width="7.109375" customWidth="1"/>
    <col min="10" max="11" width="8.6640625" customWidth="1"/>
    <col min="12" max="12" width="13.5546875" bestFit="1" customWidth="1"/>
    <col min="13" max="13" width="7.44140625" customWidth="1"/>
    <col min="14" max="14" width="15.21875" bestFit="1" customWidth="1"/>
    <col min="15" max="15" width="8.21875" customWidth="1"/>
    <col min="16" max="16" width="16.33203125" bestFit="1" customWidth="1"/>
    <col min="21" max="21" width="8.88671875" customWidth="1"/>
    <col min="22" max="22" width="17.6640625" customWidth="1"/>
  </cols>
  <sheetData>
    <row r="1" spans="1:22" x14ac:dyDescent="0.3">
      <c r="A1" s="6" t="s">
        <v>11</v>
      </c>
      <c r="B1" s="6" t="s">
        <v>47</v>
      </c>
      <c r="C1" s="6" t="s">
        <v>48</v>
      </c>
      <c r="D1" s="6" t="s">
        <v>50</v>
      </c>
      <c r="E1" s="6" t="s">
        <v>12</v>
      </c>
      <c r="F1" s="6" t="s">
        <v>55</v>
      </c>
      <c r="G1" s="6" t="s">
        <v>56</v>
      </c>
      <c r="H1" s="6" t="s">
        <v>57</v>
      </c>
      <c r="I1" s="6" t="s">
        <v>14</v>
      </c>
      <c r="J1" s="6" t="s">
        <v>93</v>
      </c>
      <c r="K1" s="6" t="s">
        <v>94</v>
      </c>
      <c r="L1" s="6" t="s">
        <v>16</v>
      </c>
      <c r="M1" s="6" t="s">
        <v>17</v>
      </c>
      <c r="N1" s="6" t="s">
        <v>18</v>
      </c>
      <c r="O1" s="6" t="s">
        <v>58</v>
      </c>
      <c r="P1" s="6" t="s">
        <v>19</v>
      </c>
      <c r="T1" s="1" t="s">
        <v>13</v>
      </c>
      <c r="U1" s="5">
        <v>0.14000000000000001</v>
      </c>
      <c r="V1" s="1" t="s">
        <v>26</v>
      </c>
    </row>
    <row r="2" spans="1:22" x14ac:dyDescent="0.3">
      <c r="A2" s="1" t="s">
        <v>3</v>
      </c>
      <c r="B2" s="1">
        <v>234</v>
      </c>
      <c r="C2" s="1" t="s">
        <v>49</v>
      </c>
      <c r="D2" s="1" t="s">
        <v>51</v>
      </c>
      <c r="E2" s="1">
        <v>2000</v>
      </c>
      <c r="F2" s="1"/>
      <c r="G2" s="1"/>
      <c r="H2" s="1">
        <f t="shared" ref="H2:H10" si="0">E2*$U$1</f>
        <v>280</v>
      </c>
      <c r="I2" s="1">
        <f>IF(E2&lt;10000,3500,5500)</f>
        <v>3500</v>
      </c>
      <c r="J2" s="1">
        <f t="shared" ref="J2:J10" si="1">E2*$U$2</f>
        <v>80</v>
      </c>
      <c r="K2" s="1">
        <f>E2*20%</f>
        <v>400</v>
      </c>
      <c r="L2" s="1">
        <f t="shared" ref="L2:L10" si="2">SUM(H2:K2)</f>
        <v>4260</v>
      </c>
      <c r="M2" s="1">
        <f t="shared" ref="M2:M10" si="3">(E2+H2)*10%</f>
        <v>228</v>
      </c>
      <c r="N2" s="1">
        <f>L2-M2</f>
        <v>4032</v>
      </c>
      <c r="O2" s="1">
        <f>N2*10%</f>
        <v>403.20000000000005</v>
      </c>
      <c r="P2" s="1">
        <f>N2-O2</f>
        <v>3628.8</v>
      </c>
      <c r="T2" s="1" t="s">
        <v>15</v>
      </c>
      <c r="U2" s="5">
        <v>0.04</v>
      </c>
      <c r="V2" s="1" t="s">
        <v>26</v>
      </c>
    </row>
    <row r="3" spans="1:22" x14ac:dyDescent="0.3">
      <c r="A3" s="1" t="s">
        <v>4</v>
      </c>
      <c r="B3" s="1">
        <v>7957</v>
      </c>
      <c r="C3" s="1" t="s">
        <v>49</v>
      </c>
      <c r="D3" s="1" t="s">
        <v>52</v>
      </c>
      <c r="E3" s="1">
        <v>5000</v>
      </c>
      <c r="F3" s="1"/>
      <c r="G3" s="1"/>
      <c r="H3" s="1">
        <f t="shared" si="0"/>
        <v>700.00000000000011</v>
      </c>
      <c r="I3" s="1">
        <f t="shared" ref="I3:I10" si="4">IF(E3&lt;10000,3500,5500)</f>
        <v>3500</v>
      </c>
      <c r="J3" s="1">
        <f t="shared" si="1"/>
        <v>200</v>
      </c>
      <c r="K3" s="1">
        <f t="shared" ref="K3:K10" si="5">E3*20%</f>
        <v>1000</v>
      </c>
      <c r="L3" s="1">
        <f t="shared" si="2"/>
        <v>5400</v>
      </c>
      <c r="M3" s="1">
        <f t="shared" si="3"/>
        <v>570</v>
      </c>
      <c r="N3" s="1">
        <f t="shared" ref="N3:N10" si="6">L3-M3</f>
        <v>4830</v>
      </c>
      <c r="O3" s="1">
        <f t="shared" ref="O3:O10" si="7">N3*10%</f>
        <v>483</v>
      </c>
      <c r="P3" s="1">
        <f t="shared" ref="P3:P10" si="8">N3-O3</f>
        <v>4347</v>
      </c>
      <c r="T3" s="1" t="s">
        <v>20</v>
      </c>
      <c r="U3" s="5">
        <v>0.1</v>
      </c>
      <c r="V3" s="1"/>
    </row>
    <row r="4" spans="1:22" x14ac:dyDescent="0.3">
      <c r="A4" s="1" t="s">
        <v>5</v>
      </c>
      <c r="B4" s="1">
        <v>9875</v>
      </c>
      <c r="C4" s="1" t="s">
        <v>49</v>
      </c>
      <c r="D4" s="1" t="s">
        <v>53</v>
      </c>
      <c r="E4" s="1">
        <v>7000</v>
      </c>
      <c r="F4" s="1"/>
      <c r="G4" s="1"/>
      <c r="H4" s="1">
        <f t="shared" si="0"/>
        <v>980.00000000000011</v>
      </c>
      <c r="I4" s="1">
        <f t="shared" si="4"/>
        <v>3500</v>
      </c>
      <c r="J4" s="1">
        <f t="shared" si="1"/>
        <v>280</v>
      </c>
      <c r="K4" s="1">
        <f t="shared" si="5"/>
        <v>1400</v>
      </c>
      <c r="L4" s="1">
        <f t="shared" si="2"/>
        <v>6160</v>
      </c>
      <c r="M4" s="1">
        <f t="shared" si="3"/>
        <v>798</v>
      </c>
      <c r="N4" s="1">
        <f t="shared" si="6"/>
        <v>5362</v>
      </c>
      <c r="O4" s="1">
        <f t="shared" si="7"/>
        <v>536.20000000000005</v>
      </c>
      <c r="P4" s="1">
        <f t="shared" si="8"/>
        <v>4825.8</v>
      </c>
    </row>
    <row r="5" spans="1:22" x14ac:dyDescent="0.3">
      <c r="A5" s="1" t="s">
        <v>6</v>
      </c>
      <c r="B5" s="1">
        <v>66575</v>
      </c>
      <c r="C5" s="1" t="s">
        <v>49</v>
      </c>
      <c r="D5" s="1" t="s">
        <v>54</v>
      </c>
      <c r="E5" s="1">
        <v>85000</v>
      </c>
      <c r="F5" s="1"/>
      <c r="G5" s="1"/>
      <c r="H5" s="1">
        <f t="shared" si="0"/>
        <v>11900.000000000002</v>
      </c>
      <c r="I5" s="1">
        <f t="shared" si="4"/>
        <v>5500</v>
      </c>
      <c r="J5" s="1">
        <f t="shared" si="1"/>
        <v>3400</v>
      </c>
      <c r="K5" s="1">
        <f t="shared" si="5"/>
        <v>17000</v>
      </c>
      <c r="L5" s="1">
        <f t="shared" si="2"/>
        <v>37800</v>
      </c>
      <c r="M5" s="1">
        <f t="shared" si="3"/>
        <v>9690</v>
      </c>
      <c r="N5" s="1">
        <f t="shared" si="6"/>
        <v>28110</v>
      </c>
      <c r="O5" s="1">
        <f t="shared" si="7"/>
        <v>2811</v>
      </c>
      <c r="P5" s="1">
        <f t="shared" si="8"/>
        <v>25299</v>
      </c>
    </row>
    <row r="6" spans="1:22" x14ac:dyDescent="0.3">
      <c r="A6" s="1" t="s">
        <v>21</v>
      </c>
      <c r="B6" s="1">
        <v>5246</v>
      </c>
      <c r="C6" s="1" t="s">
        <v>49</v>
      </c>
      <c r="D6" s="1" t="s">
        <v>54</v>
      </c>
      <c r="E6" s="1">
        <v>1000</v>
      </c>
      <c r="F6" s="1"/>
      <c r="G6" s="1"/>
      <c r="H6" s="1">
        <f t="shared" si="0"/>
        <v>140</v>
      </c>
      <c r="I6" s="1">
        <f t="shared" si="4"/>
        <v>3500</v>
      </c>
      <c r="J6" s="1">
        <f t="shared" si="1"/>
        <v>40</v>
      </c>
      <c r="K6" s="1">
        <f t="shared" si="5"/>
        <v>200</v>
      </c>
      <c r="L6" s="1">
        <f t="shared" si="2"/>
        <v>3880</v>
      </c>
      <c r="M6" s="1">
        <f t="shared" si="3"/>
        <v>114</v>
      </c>
      <c r="N6" s="1">
        <f t="shared" si="6"/>
        <v>3766</v>
      </c>
      <c r="O6" s="1">
        <f t="shared" si="7"/>
        <v>376.6</v>
      </c>
      <c r="P6" s="1">
        <f t="shared" si="8"/>
        <v>3389.4</v>
      </c>
      <c r="T6" t="s">
        <v>27</v>
      </c>
    </row>
    <row r="7" spans="1:22" x14ac:dyDescent="0.3">
      <c r="A7" s="1" t="s">
        <v>22</v>
      </c>
      <c r="B7" s="1">
        <v>2236</v>
      </c>
      <c r="C7" s="1" t="s">
        <v>49</v>
      </c>
      <c r="D7" s="1" t="s">
        <v>54</v>
      </c>
      <c r="E7" s="1">
        <v>15000</v>
      </c>
      <c r="F7" s="1"/>
      <c r="G7" s="1"/>
      <c r="H7" s="1">
        <f t="shared" si="0"/>
        <v>2100</v>
      </c>
      <c r="I7" s="1">
        <f t="shared" si="4"/>
        <v>5500</v>
      </c>
      <c r="J7" s="1">
        <f t="shared" si="1"/>
        <v>600</v>
      </c>
      <c r="K7" s="1">
        <f t="shared" si="5"/>
        <v>3000</v>
      </c>
      <c r="L7" s="1">
        <f t="shared" si="2"/>
        <v>11200</v>
      </c>
      <c r="M7" s="1">
        <f t="shared" si="3"/>
        <v>1710</v>
      </c>
      <c r="N7" s="1">
        <f t="shared" si="6"/>
        <v>9490</v>
      </c>
      <c r="O7" s="1">
        <f t="shared" si="7"/>
        <v>949</v>
      </c>
      <c r="P7" s="1">
        <f t="shared" si="8"/>
        <v>8541</v>
      </c>
    </row>
    <row r="8" spans="1:22" x14ac:dyDescent="0.3">
      <c r="A8" s="1" t="s">
        <v>23</v>
      </c>
      <c r="B8" s="1">
        <v>55879</v>
      </c>
      <c r="C8" s="1" t="s">
        <v>49</v>
      </c>
      <c r="D8" s="1" t="s">
        <v>54</v>
      </c>
      <c r="E8" s="1">
        <v>22000</v>
      </c>
      <c r="F8" s="1"/>
      <c r="G8" s="1"/>
      <c r="H8" s="1">
        <f t="shared" si="0"/>
        <v>3080.0000000000005</v>
      </c>
      <c r="I8" s="1">
        <f t="shared" si="4"/>
        <v>5500</v>
      </c>
      <c r="J8" s="1">
        <f t="shared" si="1"/>
        <v>880</v>
      </c>
      <c r="K8" s="1">
        <f t="shared" si="5"/>
        <v>4400</v>
      </c>
      <c r="L8" s="1">
        <f t="shared" si="2"/>
        <v>13860</v>
      </c>
      <c r="M8" s="1">
        <f t="shared" si="3"/>
        <v>2508</v>
      </c>
      <c r="N8" s="1">
        <f t="shared" si="6"/>
        <v>11352</v>
      </c>
      <c r="O8" s="1">
        <f t="shared" si="7"/>
        <v>1135.2</v>
      </c>
      <c r="P8" s="1">
        <f t="shared" si="8"/>
        <v>10216.799999999999</v>
      </c>
      <c r="T8" t="s">
        <v>28</v>
      </c>
    </row>
    <row r="9" spans="1:22" x14ac:dyDescent="0.3">
      <c r="A9" s="1" t="s">
        <v>24</v>
      </c>
      <c r="B9" s="1">
        <v>13647</v>
      </c>
      <c r="C9" s="1" t="s">
        <v>49</v>
      </c>
      <c r="D9" s="1" t="s">
        <v>54</v>
      </c>
      <c r="E9" s="1">
        <v>15000</v>
      </c>
      <c r="F9" s="1"/>
      <c r="G9" s="1"/>
      <c r="H9" s="1">
        <f t="shared" si="0"/>
        <v>2100</v>
      </c>
      <c r="I9" s="1">
        <f t="shared" si="4"/>
        <v>5500</v>
      </c>
      <c r="J9" s="1">
        <f t="shared" si="1"/>
        <v>600</v>
      </c>
      <c r="K9" s="1">
        <f t="shared" si="5"/>
        <v>3000</v>
      </c>
      <c r="L9" s="1">
        <f t="shared" si="2"/>
        <v>11200</v>
      </c>
      <c r="M9" s="1">
        <f t="shared" si="3"/>
        <v>1710</v>
      </c>
      <c r="N9" s="1">
        <f t="shared" si="6"/>
        <v>9490</v>
      </c>
      <c r="O9" s="1">
        <f t="shared" si="7"/>
        <v>949</v>
      </c>
      <c r="P9" s="1">
        <f t="shared" si="8"/>
        <v>8541</v>
      </c>
    </row>
    <row r="10" spans="1:22" x14ac:dyDescent="0.3">
      <c r="A10" s="1" t="s">
        <v>25</v>
      </c>
      <c r="B10" s="1">
        <v>13687</v>
      </c>
      <c r="C10" s="1" t="s">
        <v>49</v>
      </c>
      <c r="D10" s="1" t="s">
        <v>54</v>
      </c>
      <c r="E10" s="1">
        <v>13000</v>
      </c>
      <c r="F10" s="1"/>
      <c r="G10" s="1"/>
      <c r="H10" s="1">
        <f t="shared" si="0"/>
        <v>1820.0000000000002</v>
      </c>
      <c r="I10" s="1">
        <f t="shared" si="4"/>
        <v>5500</v>
      </c>
      <c r="J10" s="1">
        <f t="shared" si="1"/>
        <v>520</v>
      </c>
      <c r="K10" s="1">
        <f t="shared" si="5"/>
        <v>2600</v>
      </c>
      <c r="L10" s="1">
        <f t="shared" si="2"/>
        <v>10440</v>
      </c>
      <c r="M10" s="1">
        <f t="shared" si="3"/>
        <v>1482</v>
      </c>
      <c r="N10" s="1">
        <f t="shared" si="6"/>
        <v>8958</v>
      </c>
      <c r="O10" s="1">
        <f t="shared" si="7"/>
        <v>895.80000000000007</v>
      </c>
      <c r="P10" s="1">
        <f t="shared" si="8"/>
        <v>8062.2</v>
      </c>
      <c r="T10" t="s">
        <v>29</v>
      </c>
    </row>
    <row r="13" spans="1:22" x14ac:dyDescent="0.3">
      <c r="E13" s="12"/>
      <c r="F13" s="13"/>
    </row>
    <row r="15" spans="1:22" x14ac:dyDescent="0.3">
      <c r="F15" s="12"/>
      <c r="G15" s="14"/>
    </row>
  </sheetData>
  <pageMargins left="0.7" right="0.7" top="0.75" bottom="0.75" header="0.3" footer="0.3"/>
  <ignoredErrors>
    <ignoredError sqref="O2" formula="1"/>
  </ignoredError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9735DA0-DE04-444B-A737-ECFE15427F96}">
  <sheetPr codeName="Sheet3"/>
  <dimension ref="A1:D29"/>
  <sheetViews>
    <sheetView workbookViewId="0">
      <selection activeCell="F28" sqref="F28"/>
    </sheetView>
  </sheetViews>
  <sheetFormatPr defaultRowHeight="14.4" x14ac:dyDescent="0.3"/>
  <cols>
    <col min="1" max="1" width="15.5546875" customWidth="1"/>
  </cols>
  <sheetData>
    <row r="1" spans="1:4" x14ac:dyDescent="0.3">
      <c r="A1" s="1" t="s">
        <v>30</v>
      </c>
      <c r="B1" s="1" t="s">
        <v>31</v>
      </c>
      <c r="D1" t="s">
        <v>43</v>
      </c>
    </row>
    <row r="2" spans="1:4" x14ac:dyDescent="0.3">
      <c r="A2" s="1" t="s">
        <v>32</v>
      </c>
      <c r="B2" s="1">
        <v>210</v>
      </c>
      <c r="D2" s="9">
        <f>1+5%</f>
        <v>1.05</v>
      </c>
    </row>
    <row r="3" spans="1:4" x14ac:dyDescent="0.3">
      <c r="A3" s="1" t="s">
        <v>33</v>
      </c>
      <c r="B3" s="1">
        <v>262.5</v>
      </c>
    </row>
    <row r="4" spans="1:4" x14ac:dyDescent="0.3">
      <c r="A4" s="1" t="s">
        <v>34</v>
      </c>
      <c r="B4" s="1">
        <v>2100</v>
      </c>
    </row>
    <row r="5" spans="1:4" x14ac:dyDescent="0.3">
      <c r="A5" s="1" t="s">
        <v>35</v>
      </c>
      <c r="B5" s="1">
        <v>420</v>
      </c>
    </row>
    <row r="6" spans="1:4" x14ac:dyDescent="0.3">
      <c r="A6" s="1" t="s">
        <v>36</v>
      </c>
      <c r="B6" s="1">
        <v>3150</v>
      </c>
    </row>
    <row r="9" spans="1:4" x14ac:dyDescent="0.3">
      <c r="A9" s="1" t="s">
        <v>37</v>
      </c>
      <c r="B9" s="1" t="s">
        <v>38</v>
      </c>
      <c r="D9" t="s">
        <v>44</v>
      </c>
    </row>
    <row r="10" spans="1:4" x14ac:dyDescent="0.3">
      <c r="A10" s="1" t="s">
        <v>39</v>
      </c>
      <c r="B10" s="1">
        <v>24200.000000000004</v>
      </c>
      <c r="D10" s="10">
        <f>1+10%</f>
        <v>1.1000000000000001</v>
      </c>
    </row>
    <row r="11" spans="1:4" x14ac:dyDescent="0.3">
      <c r="A11" s="1" t="s">
        <v>40</v>
      </c>
      <c r="B11" s="1">
        <v>30250.000000000004</v>
      </c>
    </row>
    <row r="12" spans="1:4" x14ac:dyDescent="0.3">
      <c r="A12" s="1" t="s">
        <v>41</v>
      </c>
      <c r="B12" s="1">
        <v>23100.000000000004</v>
      </c>
    </row>
    <row r="13" spans="1:4" x14ac:dyDescent="0.3">
      <c r="A13" s="1" t="s">
        <v>42</v>
      </c>
      <c r="B13" s="1">
        <v>29150.000000000004</v>
      </c>
    </row>
    <row r="17" spans="1:4" x14ac:dyDescent="0.3">
      <c r="A17" s="1" t="s">
        <v>30</v>
      </c>
      <c r="B17" s="1" t="s">
        <v>31</v>
      </c>
      <c r="D17" t="s">
        <v>45</v>
      </c>
    </row>
    <row r="18" spans="1:4" x14ac:dyDescent="0.3">
      <c r="A18" s="1" t="s">
        <v>32</v>
      </c>
      <c r="B18" s="1">
        <v>190</v>
      </c>
      <c r="D18" s="7">
        <f>1-5%</f>
        <v>0.95</v>
      </c>
    </row>
    <row r="19" spans="1:4" x14ac:dyDescent="0.3">
      <c r="A19" s="1" t="s">
        <v>33</v>
      </c>
      <c r="B19" s="1">
        <v>237.5</v>
      </c>
    </row>
    <row r="20" spans="1:4" x14ac:dyDescent="0.3">
      <c r="A20" s="1" t="s">
        <v>34</v>
      </c>
      <c r="B20" s="1">
        <v>1900</v>
      </c>
    </row>
    <row r="21" spans="1:4" x14ac:dyDescent="0.3">
      <c r="A21" s="1" t="s">
        <v>35</v>
      </c>
      <c r="B21" s="1">
        <v>380</v>
      </c>
    </row>
    <row r="22" spans="1:4" x14ac:dyDescent="0.3">
      <c r="A22" s="1" t="s">
        <v>36</v>
      </c>
      <c r="B22" s="1">
        <v>2850</v>
      </c>
    </row>
    <row r="25" spans="1:4" x14ac:dyDescent="0.3">
      <c r="A25" s="1" t="s">
        <v>37</v>
      </c>
      <c r="B25" s="1" t="s">
        <v>38</v>
      </c>
      <c r="D25" t="s">
        <v>46</v>
      </c>
    </row>
    <row r="26" spans="1:4" x14ac:dyDescent="0.3">
      <c r="A26" s="1" t="s">
        <v>39</v>
      </c>
      <c r="B26" s="1">
        <v>21780.000000000004</v>
      </c>
      <c r="D26" s="8">
        <f>1-10%</f>
        <v>0.9</v>
      </c>
    </row>
    <row r="27" spans="1:4" x14ac:dyDescent="0.3">
      <c r="A27" s="1" t="s">
        <v>40</v>
      </c>
      <c r="B27" s="1">
        <v>27225.000000000004</v>
      </c>
    </row>
    <row r="28" spans="1:4" x14ac:dyDescent="0.3">
      <c r="A28" s="1" t="s">
        <v>41</v>
      </c>
      <c r="B28" s="1">
        <v>20790.000000000004</v>
      </c>
    </row>
    <row r="29" spans="1:4" x14ac:dyDescent="0.3">
      <c r="A29" s="1" t="s">
        <v>42</v>
      </c>
      <c r="B29" s="1">
        <v>26235.000000000004</v>
      </c>
    </row>
  </sheetData>
  <phoneticPr fontId="2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97DB40A-FA17-4D4C-873C-536945E27D92}">
  <dimension ref="A1:R23"/>
  <sheetViews>
    <sheetView zoomScale="96" workbookViewId="0">
      <selection activeCell="N22" sqref="N22"/>
    </sheetView>
  </sheetViews>
  <sheetFormatPr defaultRowHeight="14.4" x14ac:dyDescent="0.3"/>
  <cols>
    <col min="3" max="3" width="16.109375" customWidth="1"/>
    <col min="4" max="4" width="13.33203125" customWidth="1"/>
    <col min="5" max="5" width="5.5546875" customWidth="1"/>
    <col min="11" max="11" width="18.33203125" customWidth="1"/>
    <col min="12" max="12" width="16.44140625" customWidth="1"/>
    <col min="13" max="13" width="17.109375" customWidth="1"/>
    <col min="14" max="14" width="11.6640625" customWidth="1"/>
    <col min="15" max="15" width="14.44140625" customWidth="1"/>
    <col min="16" max="16" width="7.44140625" customWidth="1"/>
    <col min="17" max="17" width="5.6640625" customWidth="1"/>
    <col min="18" max="18" width="12.77734375" customWidth="1"/>
  </cols>
  <sheetData>
    <row r="1" spans="1:18" ht="31.2" x14ac:dyDescent="0.6">
      <c r="A1" s="45" t="s">
        <v>98</v>
      </c>
      <c r="B1" s="46"/>
      <c r="C1" s="46"/>
      <c r="D1" s="46"/>
      <c r="E1" s="46"/>
      <c r="F1" s="46"/>
      <c r="G1" s="46"/>
      <c r="H1" s="46"/>
      <c r="I1" s="46"/>
      <c r="J1" s="46"/>
      <c r="K1" s="46"/>
      <c r="L1" s="46"/>
      <c r="M1" s="46"/>
      <c r="N1" s="46"/>
      <c r="O1" s="46"/>
      <c r="P1" s="46"/>
      <c r="Q1" s="46"/>
      <c r="R1" s="46"/>
    </row>
    <row r="2" spans="1:18" x14ac:dyDescent="0.3">
      <c r="A2" s="16" t="s">
        <v>99</v>
      </c>
      <c r="B2" s="16" t="s">
        <v>100</v>
      </c>
      <c r="C2" s="16" t="s">
        <v>101</v>
      </c>
      <c r="D2" s="16" t="s">
        <v>102</v>
      </c>
      <c r="E2" s="16" t="s">
        <v>103</v>
      </c>
      <c r="F2" s="16" t="s">
        <v>104</v>
      </c>
      <c r="G2" s="16" t="s">
        <v>59</v>
      </c>
      <c r="H2" s="16" t="s">
        <v>188</v>
      </c>
      <c r="I2" s="16" t="s">
        <v>60</v>
      </c>
      <c r="J2" s="16" t="s">
        <v>61</v>
      </c>
      <c r="K2" s="16" t="s">
        <v>95</v>
      </c>
      <c r="L2" s="17" t="s">
        <v>96</v>
      </c>
      <c r="M2" s="16" t="s">
        <v>105</v>
      </c>
      <c r="N2" s="16" t="s">
        <v>97</v>
      </c>
      <c r="O2" s="16" t="s">
        <v>106</v>
      </c>
      <c r="P2" s="16" t="s">
        <v>17</v>
      </c>
      <c r="Q2" s="16" t="s">
        <v>107</v>
      </c>
      <c r="R2" s="16" t="s">
        <v>108</v>
      </c>
    </row>
    <row r="3" spans="1:18" x14ac:dyDescent="0.3">
      <c r="A3" s="1" t="s">
        <v>62</v>
      </c>
      <c r="B3" s="1" t="s">
        <v>75</v>
      </c>
      <c r="C3" s="1" t="s">
        <v>88</v>
      </c>
      <c r="D3" s="18">
        <v>45000</v>
      </c>
      <c r="E3" s="1">
        <v>25</v>
      </c>
      <c r="F3" s="15">
        <f>D3/30*E3</f>
        <v>37500</v>
      </c>
      <c r="G3" s="1">
        <v>300</v>
      </c>
      <c r="H3" s="1">
        <f>D3*18%</f>
        <v>8100</v>
      </c>
      <c r="I3" s="1">
        <v>1000</v>
      </c>
      <c r="J3" s="1">
        <v>10000</v>
      </c>
      <c r="K3" s="1">
        <v>2</v>
      </c>
      <c r="L3" s="15">
        <f>E3*K3</f>
        <v>50</v>
      </c>
      <c r="M3" s="15">
        <f>D3/30/8</f>
        <v>187.5</v>
      </c>
      <c r="N3" s="15">
        <f>L3*M3</f>
        <v>9375</v>
      </c>
      <c r="O3" s="19">
        <f>F3+G3+H3+I3+J3+N3</f>
        <v>66275</v>
      </c>
      <c r="P3" s="1">
        <f>F3*12%</f>
        <v>4500</v>
      </c>
      <c r="Q3" s="15">
        <f t="shared" ref="Q3:Q15" si="0">IF(D3&lt;21000,(D3*0.75%),0)</f>
        <v>0</v>
      </c>
      <c r="R3" s="19">
        <f>O3-P3-Q3</f>
        <v>61775</v>
      </c>
    </row>
    <row r="4" spans="1:18" x14ac:dyDescent="0.3">
      <c r="A4" s="1" t="s">
        <v>63</v>
      </c>
      <c r="B4" s="1" t="s">
        <v>76</v>
      </c>
      <c r="C4" s="1" t="s">
        <v>89</v>
      </c>
      <c r="D4" s="18">
        <v>40000</v>
      </c>
      <c r="E4" s="1">
        <v>30</v>
      </c>
      <c r="F4" s="15">
        <f t="shared" ref="F4:F15" si="1">D4/30*E4</f>
        <v>40000</v>
      </c>
      <c r="G4" s="1">
        <v>300</v>
      </c>
      <c r="H4" s="1">
        <f t="shared" ref="H4:H15" si="2">D4*18%</f>
        <v>7200</v>
      </c>
      <c r="I4" s="1">
        <v>1000</v>
      </c>
      <c r="J4" s="1">
        <v>0</v>
      </c>
      <c r="K4" s="1">
        <v>3</v>
      </c>
      <c r="L4" s="15">
        <f t="shared" ref="L4:L15" si="3">E4*K4</f>
        <v>90</v>
      </c>
      <c r="M4" s="15">
        <f t="shared" ref="M4:M15" si="4">D4/30/8</f>
        <v>166.66666666666666</v>
      </c>
      <c r="N4" s="15">
        <f t="shared" ref="N4:N15" si="5">L4*M4</f>
        <v>15000</v>
      </c>
      <c r="O4" s="19">
        <f t="shared" ref="O4:O15" si="6">F4+G4+H4+I4+J4+N4</f>
        <v>63500</v>
      </c>
      <c r="P4" s="1">
        <f t="shared" ref="P4:P15" si="7">F4*12%</f>
        <v>4800</v>
      </c>
      <c r="Q4" s="15">
        <f t="shared" si="0"/>
        <v>0</v>
      </c>
      <c r="R4" s="19">
        <f t="shared" ref="R4:R15" si="8">O4-P4-Q4</f>
        <v>58700</v>
      </c>
    </row>
    <row r="5" spans="1:18" x14ac:dyDescent="0.3">
      <c r="A5" s="1" t="s">
        <v>64</v>
      </c>
      <c r="B5" s="1" t="s">
        <v>77</v>
      </c>
      <c r="C5" s="1" t="s">
        <v>90</v>
      </c>
      <c r="D5" s="18">
        <v>35000</v>
      </c>
      <c r="E5" s="1">
        <v>28</v>
      </c>
      <c r="F5" s="15">
        <f t="shared" si="1"/>
        <v>32666.666666666668</v>
      </c>
      <c r="G5" s="1">
        <v>300</v>
      </c>
      <c r="H5" s="1">
        <f t="shared" si="2"/>
        <v>6300</v>
      </c>
      <c r="I5" s="1">
        <v>1000</v>
      </c>
      <c r="J5" s="1">
        <v>0</v>
      </c>
      <c r="K5" s="1">
        <v>1</v>
      </c>
      <c r="L5" s="15">
        <f t="shared" si="3"/>
        <v>28</v>
      </c>
      <c r="M5" s="15">
        <f t="shared" si="4"/>
        <v>145.83333333333334</v>
      </c>
      <c r="N5" s="15">
        <f t="shared" si="5"/>
        <v>4083.3333333333335</v>
      </c>
      <c r="O5" s="19">
        <f t="shared" si="6"/>
        <v>44350.000000000007</v>
      </c>
      <c r="P5" s="1">
        <f t="shared" si="7"/>
        <v>3920</v>
      </c>
      <c r="Q5" s="15">
        <f t="shared" si="0"/>
        <v>0</v>
      </c>
      <c r="R5" s="19">
        <f t="shared" si="8"/>
        <v>40430.000000000007</v>
      </c>
    </row>
    <row r="6" spans="1:18" x14ac:dyDescent="0.3">
      <c r="A6" s="1" t="s">
        <v>65</v>
      </c>
      <c r="B6" s="1" t="s">
        <v>78</v>
      </c>
      <c r="C6" s="1" t="s">
        <v>91</v>
      </c>
      <c r="D6" s="18">
        <v>30000</v>
      </c>
      <c r="E6" s="1">
        <v>26</v>
      </c>
      <c r="F6" s="15">
        <f t="shared" si="1"/>
        <v>26000</v>
      </c>
      <c r="G6" s="1">
        <v>300</v>
      </c>
      <c r="H6" s="1">
        <f t="shared" si="2"/>
        <v>5400</v>
      </c>
      <c r="I6" s="1">
        <v>1000</v>
      </c>
      <c r="J6" s="1">
        <v>0</v>
      </c>
      <c r="K6" s="1">
        <v>4</v>
      </c>
      <c r="L6" s="15">
        <f t="shared" si="3"/>
        <v>104</v>
      </c>
      <c r="M6" s="15">
        <f t="shared" si="4"/>
        <v>125</v>
      </c>
      <c r="N6" s="15">
        <f t="shared" si="5"/>
        <v>13000</v>
      </c>
      <c r="O6" s="19">
        <f t="shared" si="6"/>
        <v>45700</v>
      </c>
      <c r="P6" s="1">
        <f t="shared" si="7"/>
        <v>3120</v>
      </c>
      <c r="Q6" s="15">
        <f t="shared" si="0"/>
        <v>0</v>
      </c>
      <c r="R6" s="19">
        <f t="shared" si="8"/>
        <v>42580</v>
      </c>
    </row>
    <row r="7" spans="1:18" x14ac:dyDescent="0.3">
      <c r="A7" s="1" t="s">
        <v>66</v>
      </c>
      <c r="B7" s="1" t="s">
        <v>79</v>
      </c>
      <c r="C7" s="1" t="s">
        <v>91</v>
      </c>
      <c r="D7" s="18">
        <v>30000</v>
      </c>
      <c r="E7" s="1">
        <v>24</v>
      </c>
      <c r="F7" s="15">
        <f t="shared" si="1"/>
        <v>24000</v>
      </c>
      <c r="G7" s="1">
        <v>300</v>
      </c>
      <c r="H7" s="1">
        <f t="shared" si="2"/>
        <v>5400</v>
      </c>
      <c r="I7" s="1">
        <v>1000</v>
      </c>
      <c r="J7" s="1">
        <v>0</v>
      </c>
      <c r="K7" s="1">
        <v>6</v>
      </c>
      <c r="L7" s="15">
        <f t="shared" si="3"/>
        <v>144</v>
      </c>
      <c r="M7" s="15">
        <f t="shared" si="4"/>
        <v>125</v>
      </c>
      <c r="N7" s="15">
        <f t="shared" si="5"/>
        <v>18000</v>
      </c>
      <c r="O7" s="19">
        <f t="shared" si="6"/>
        <v>48700</v>
      </c>
      <c r="P7" s="1">
        <f t="shared" si="7"/>
        <v>2880</v>
      </c>
      <c r="Q7" s="15">
        <f t="shared" si="0"/>
        <v>0</v>
      </c>
      <c r="R7" s="19">
        <f t="shared" si="8"/>
        <v>45820</v>
      </c>
    </row>
    <row r="8" spans="1:18" x14ac:dyDescent="0.3">
      <c r="A8" s="1" t="s">
        <v>67</v>
      </c>
      <c r="B8" s="1" t="s">
        <v>80</v>
      </c>
      <c r="C8" s="1" t="s">
        <v>91</v>
      </c>
      <c r="D8" s="18">
        <v>25000</v>
      </c>
      <c r="E8" s="1">
        <v>25</v>
      </c>
      <c r="F8" s="15">
        <f t="shared" si="1"/>
        <v>20833.333333333336</v>
      </c>
      <c r="G8" s="1">
        <v>300</v>
      </c>
      <c r="H8" s="1">
        <f t="shared" si="2"/>
        <v>4500</v>
      </c>
      <c r="I8" s="1">
        <v>1000</v>
      </c>
      <c r="J8" s="1">
        <v>0</v>
      </c>
      <c r="K8" s="1">
        <v>2</v>
      </c>
      <c r="L8" s="15">
        <f t="shared" si="3"/>
        <v>50</v>
      </c>
      <c r="M8" s="15">
        <f t="shared" si="4"/>
        <v>104.16666666666667</v>
      </c>
      <c r="N8" s="15">
        <f t="shared" si="5"/>
        <v>5208.3333333333339</v>
      </c>
      <c r="O8" s="19">
        <f t="shared" si="6"/>
        <v>31841.666666666672</v>
      </c>
      <c r="P8" s="1">
        <f t="shared" si="7"/>
        <v>2500</v>
      </c>
      <c r="Q8" s="15">
        <f t="shared" si="0"/>
        <v>0</v>
      </c>
      <c r="R8" s="19">
        <f t="shared" si="8"/>
        <v>29341.666666666672</v>
      </c>
    </row>
    <row r="9" spans="1:18" x14ac:dyDescent="0.3">
      <c r="A9" s="1" t="s">
        <v>68</v>
      </c>
      <c r="B9" s="1" t="s">
        <v>81</v>
      </c>
      <c r="C9" s="1" t="s">
        <v>90</v>
      </c>
      <c r="D9" s="18">
        <v>32000</v>
      </c>
      <c r="E9" s="1">
        <v>30</v>
      </c>
      <c r="F9" s="15">
        <f t="shared" si="1"/>
        <v>32000.000000000004</v>
      </c>
      <c r="G9" s="1">
        <v>300</v>
      </c>
      <c r="H9" s="1">
        <f t="shared" si="2"/>
        <v>5760</v>
      </c>
      <c r="I9" s="1">
        <v>1000</v>
      </c>
      <c r="J9" s="1">
        <v>0</v>
      </c>
      <c r="K9" s="1">
        <v>3</v>
      </c>
      <c r="L9" s="15">
        <f t="shared" si="3"/>
        <v>90</v>
      </c>
      <c r="M9" s="15">
        <f t="shared" si="4"/>
        <v>133.33333333333334</v>
      </c>
      <c r="N9" s="15">
        <f t="shared" si="5"/>
        <v>12000</v>
      </c>
      <c r="O9" s="19">
        <f t="shared" si="6"/>
        <v>51060</v>
      </c>
      <c r="P9" s="1">
        <f t="shared" si="7"/>
        <v>3840.0000000000005</v>
      </c>
      <c r="Q9" s="15">
        <f t="shared" si="0"/>
        <v>0</v>
      </c>
      <c r="R9" s="19">
        <f t="shared" si="8"/>
        <v>47220</v>
      </c>
    </row>
    <row r="10" spans="1:18" x14ac:dyDescent="0.3">
      <c r="A10" s="1" t="s">
        <v>69</v>
      </c>
      <c r="B10" s="1" t="s">
        <v>82</v>
      </c>
      <c r="C10" s="1" t="s">
        <v>91</v>
      </c>
      <c r="D10" s="18">
        <v>17000</v>
      </c>
      <c r="E10" s="1">
        <v>30</v>
      </c>
      <c r="F10" s="15">
        <f t="shared" si="1"/>
        <v>17000</v>
      </c>
      <c r="G10" s="1">
        <v>300</v>
      </c>
      <c r="H10" s="1">
        <f t="shared" si="2"/>
        <v>3060</v>
      </c>
      <c r="I10" s="1">
        <v>1000</v>
      </c>
      <c r="J10" s="1">
        <v>0</v>
      </c>
      <c r="K10" s="1">
        <v>1</v>
      </c>
      <c r="L10" s="15">
        <f t="shared" si="3"/>
        <v>30</v>
      </c>
      <c r="M10" s="15">
        <f t="shared" si="4"/>
        <v>70.833333333333329</v>
      </c>
      <c r="N10" s="15">
        <f t="shared" si="5"/>
        <v>2125</v>
      </c>
      <c r="O10" s="19">
        <f t="shared" si="6"/>
        <v>23485</v>
      </c>
      <c r="P10" s="1">
        <f t="shared" si="7"/>
        <v>2040</v>
      </c>
      <c r="Q10" s="15">
        <f t="shared" si="0"/>
        <v>127.5</v>
      </c>
      <c r="R10" s="19">
        <f t="shared" si="8"/>
        <v>21317.5</v>
      </c>
    </row>
    <row r="11" spans="1:18" x14ac:dyDescent="0.3">
      <c r="A11" s="1" t="s">
        <v>70</v>
      </c>
      <c r="B11" s="1" t="s">
        <v>83</v>
      </c>
      <c r="C11" s="1" t="s">
        <v>91</v>
      </c>
      <c r="D11" s="18">
        <v>17000</v>
      </c>
      <c r="E11" s="1">
        <v>30</v>
      </c>
      <c r="F11" s="15">
        <f t="shared" si="1"/>
        <v>17000</v>
      </c>
      <c r="G11" s="1">
        <v>300</v>
      </c>
      <c r="H11" s="1">
        <f t="shared" si="2"/>
        <v>3060</v>
      </c>
      <c r="I11" s="1">
        <v>1000</v>
      </c>
      <c r="J11" s="1">
        <v>0</v>
      </c>
      <c r="K11" s="1">
        <v>4</v>
      </c>
      <c r="L11" s="15">
        <f t="shared" si="3"/>
        <v>120</v>
      </c>
      <c r="M11" s="15">
        <f t="shared" si="4"/>
        <v>70.833333333333329</v>
      </c>
      <c r="N11" s="15">
        <f t="shared" si="5"/>
        <v>8500</v>
      </c>
      <c r="O11" s="19">
        <f t="shared" si="6"/>
        <v>29860</v>
      </c>
      <c r="P11" s="1">
        <f t="shared" si="7"/>
        <v>2040</v>
      </c>
      <c r="Q11" s="15">
        <f t="shared" si="0"/>
        <v>127.5</v>
      </c>
      <c r="R11" s="19">
        <f t="shared" si="8"/>
        <v>27692.5</v>
      </c>
    </row>
    <row r="12" spans="1:18" x14ac:dyDescent="0.3">
      <c r="A12" s="1" t="s">
        <v>71</v>
      </c>
      <c r="B12" s="1" t="s">
        <v>84</v>
      </c>
      <c r="C12" s="1" t="s">
        <v>92</v>
      </c>
      <c r="D12" s="18">
        <v>15000</v>
      </c>
      <c r="E12" s="1">
        <v>25</v>
      </c>
      <c r="F12" s="15">
        <f t="shared" si="1"/>
        <v>12500</v>
      </c>
      <c r="G12" s="1">
        <v>300</v>
      </c>
      <c r="H12" s="1">
        <f t="shared" si="2"/>
        <v>2700</v>
      </c>
      <c r="I12" s="1">
        <v>1000</v>
      </c>
      <c r="J12" s="1">
        <v>0</v>
      </c>
      <c r="K12" s="1">
        <v>6</v>
      </c>
      <c r="L12" s="15">
        <f t="shared" si="3"/>
        <v>150</v>
      </c>
      <c r="M12" s="15">
        <f t="shared" si="4"/>
        <v>62.5</v>
      </c>
      <c r="N12" s="15">
        <f t="shared" si="5"/>
        <v>9375</v>
      </c>
      <c r="O12" s="19">
        <f t="shared" si="6"/>
        <v>25875</v>
      </c>
      <c r="P12" s="1">
        <f t="shared" si="7"/>
        <v>1500</v>
      </c>
      <c r="Q12" s="15">
        <f t="shared" si="0"/>
        <v>112.5</v>
      </c>
      <c r="R12" s="19">
        <f t="shared" si="8"/>
        <v>24262.5</v>
      </c>
    </row>
    <row r="13" spans="1:18" x14ac:dyDescent="0.3">
      <c r="A13" s="1" t="s">
        <v>72</v>
      </c>
      <c r="B13" s="1" t="s">
        <v>85</v>
      </c>
      <c r="C13" s="1" t="s">
        <v>92</v>
      </c>
      <c r="D13" s="18">
        <v>15000</v>
      </c>
      <c r="E13" s="1">
        <v>30</v>
      </c>
      <c r="F13" s="15">
        <f t="shared" si="1"/>
        <v>15000</v>
      </c>
      <c r="G13" s="1">
        <v>300</v>
      </c>
      <c r="H13" s="1">
        <f t="shared" si="2"/>
        <v>2700</v>
      </c>
      <c r="I13" s="1">
        <v>1000</v>
      </c>
      <c r="J13" s="1">
        <v>2000</v>
      </c>
      <c r="K13" s="1">
        <v>7</v>
      </c>
      <c r="L13" s="15">
        <f t="shared" si="3"/>
        <v>210</v>
      </c>
      <c r="M13" s="15">
        <f t="shared" si="4"/>
        <v>62.5</v>
      </c>
      <c r="N13" s="15">
        <f t="shared" si="5"/>
        <v>13125</v>
      </c>
      <c r="O13" s="19">
        <f t="shared" si="6"/>
        <v>34125</v>
      </c>
      <c r="P13" s="1">
        <f t="shared" si="7"/>
        <v>1800</v>
      </c>
      <c r="Q13" s="15">
        <f t="shared" si="0"/>
        <v>112.5</v>
      </c>
      <c r="R13" s="19">
        <f t="shared" si="8"/>
        <v>32212.5</v>
      </c>
    </row>
    <row r="14" spans="1:18" x14ac:dyDescent="0.3">
      <c r="A14" s="1" t="s">
        <v>73</v>
      </c>
      <c r="B14" s="1" t="s">
        <v>86</v>
      </c>
      <c r="C14" s="1" t="s">
        <v>92</v>
      </c>
      <c r="D14" s="18">
        <v>15000</v>
      </c>
      <c r="E14" s="1">
        <v>30</v>
      </c>
      <c r="F14" s="15">
        <f t="shared" si="1"/>
        <v>15000</v>
      </c>
      <c r="G14" s="1">
        <v>300</v>
      </c>
      <c r="H14" s="1">
        <f t="shared" si="2"/>
        <v>2700</v>
      </c>
      <c r="I14" s="1">
        <v>1000</v>
      </c>
      <c r="J14" s="1">
        <v>2000</v>
      </c>
      <c r="K14" s="1">
        <v>5</v>
      </c>
      <c r="L14" s="15">
        <f t="shared" si="3"/>
        <v>150</v>
      </c>
      <c r="M14" s="15">
        <f t="shared" si="4"/>
        <v>62.5</v>
      </c>
      <c r="N14" s="15">
        <f t="shared" si="5"/>
        <v>9375</v>
      </c>
      <c r="O14" s="19">
        <f t="shared" si="6"/>
        <v>30375</v>
      </c>
      <c r="P14" s="1">
        <f t="shared" si="7"/>
        <v>1800</v>
      </c>
      <c r="Q14" s="15">
        <f t="shared" si="0"/>
        <v>112.5</v>
      </c>
      <c r="R14" s="19">
        <f t="shared" si="8"/>
        <v>28462.5</v>
      </c>
    </row>
    <row r="15" spans="1:18" x14ac:dyDescent="0.3">
      <c r="A15" s="1" t="s">
        <v>74</v>
      </c>
      <c r="B15" s="1" t="s">
        <v>87</v>
      </c>
      <c r="C15" s="1" t="s">
        <v>92</v>
      </c>
      <c r="D15" s="18">
        <v>15000</v>
      </c>
      <c r="E15" s="1">
        <v>30</v>
      </c>
      <c r="F15" s="15">
        <f t="shared" si="1"/>
        <v>15000</v>
      </c>
      <c r="G15" s="1">
        <v>300</v>
      </c>
      <c r="H15" s="1">
        <f t="shared" si="2"/>
        <v>2700</v>
      </c>
      <c r="I15" s="1">
        <v>1000</v>
      </c>
      <c r="J15" s="1">
        <v>2000</v>
      </c>
      <c r="K15" s="1">
        <v>4</v>
      </c>
      <c r="L15" s="15">
        <f t="shared" si="3"/>
        <v>120</v>
      </c>
      <c r="M15" s="15">
        <f t="shared" si="4"/>
        <v>62.5</v>
      </c>
      <c r="N15" s="15">
        <f t="shared" si="5"/>
        <v>7500</v>
      </c>
      <c r="O15" s="19">
        <f t="shared" si="6"/>
        <v>28500</v>
      </c>
      <c r="P15" s="1">
        <f t="shared" si="7"/>
        <v>1800</v>
      </c>
      <c r="Q15" s="15">
        <f t="shared" si="0"/>
        <v>112.5</v>
      </c>
      <c r="R15" s="19">
        <f t="shared" si="8"/>
        <v>26587.5</v>
      </c>
    </row>
    <row r="17" spans="3:12" x14ac:dyDescent="0.3">
      <c r="L17" s="11"/>
    </row>
    <row r="18" spans="3:12" x14ac:dyDescent="0.3">
      <c r="C18" s="12"/>
      <c r="E18" s="13"/>
      <c r="G18" s="13"/>
    </row>
    <row r="23" spans="3:12" x14ac:dyDescent="0.3">
      <c r="D23" s="13"/>
    </row>
  </sheetData>
  <mergeCells count="1">
    <mergeCell ref="A1:R1"/>
  </mergeCells>
  <phoneticPr fontId="2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BB3101-5B0B-4802-8DA8-A8A845A922C6}">
  <dimension ref="A2:R40"/>
  <sheetViews>
    <sheetView zoomScale="90" zoomScaleNormal="90" workbookViewId="0">
      <selection activeCell="I23" sqref="I23"/>
    </sheetView>
  </sheetViews>
  <sheetFormatPr defaultRowHeight="14.4" x14ac:dyDescent="0.3"/>
  <cols>
    <col min="2" max="2" width="8.88671875" customWidth="1"/>
    <col min="3" max="3" width="14.33203125" customWidth="1"/>
    <col min="4" max="4" width="13.21875" customWidth="1"/>
    <col min="5" max="5" width="12.6640625" customWidth="1"/>
    <col min="6" max="6" width="12.21875" customWidth="1"/>
    <col min="7" max="7" width="17.21875" customWidth="1"/>
    <col min="8" max="8" width="8.88671875" customWidth="1"/>
    <col min="9" max="9" width="12.21875" customWidth="1"/>
    <col min="10" max="10" width="13.33203125" customWidth="1"/>
  </cols>
  <sheetData>
    <row r="2" spans="1:18" x14ac:dyDescent="0.3">
      <c r="A2" s="1" t="s">
        <v>131</v>
      </c>
      <c r="B2" s="1" t="s">
        <v>0</v>
      </c>
      <c r="C2" s="1" t="s">
        <v>132</v>
      </c>
      <c r="D2" s="1" t="s">
        <v>115</v>
      </c>
      <c r="E2" s="1" t="s">
        <v>133</v>
      </c>
      <c r="F2" s="1" t="s">
        <v>154</v>
      </c>
      <c r="G2" s="1" t="s">
        <v>118</v>
      </c>
      <c r="H2" s="1" t="s">
        <v>134</v>
      </c>
      <c r="I2" s="1" t="s">
        <v>135</v>
      </c>
      <c r="J2" s="1" t="s">
        <v>136</v>
      </c>
      <c r="K2" s="1" t="s">
        <v>137</v>
      </c>
      <c r="L2" s="1" t="s">
        <v>138</v>
      </c>
      <c r="M2" s="1" t="s">
        <v>139</v>
      </c>
      <c r="N2" s="1" t="s">
        <v>140</v>
      </c>
      <c r="O2" s="1" t="s">
        <v>140</v>
      </c>
    </row>
    <row r="3" spans="1:18" x14ac:dyDescent="0.3">
      <c r="A3" s="38">
        <v>2</v>
      </c>
      <c r="B3" s="38" t="s">
        <v>141</v>
      </c>
      <c r="C3" s="38">
        <v>97</v>
      </c>
      <c r="D3" s="38">
        <v>36</v>
      </c>
      <c r="E3" s="38">
        <v>47</v>
      </c>
      <c r="F3" s="38">
        <v>13</v>
      </c>
      <c r="G3" s="38">
        <v>34</v>
      </c>
      <c r="H3" s="1">
        <f t="shared" ref="H3:H15" si="0">SUM(C3:G3)</f>
        <v>227</v>
      </c>
      <c r="I3" s="1">
        <f t="shared" ref="I3:I15" si="1">AVERAGE(C3:G3)</f>
        <v>45.4</v>
      </c>
      <c r="J3" s="1" t="str">
        <f>IF(I3&gt;65,"A",IF(I3&gt;55,"B",IF(I3&gt;40,"C",IF(I3&gt;30,"D"))))</f>
        <v>C</v>
      </c>
      <c r="K3" s="1">
        <f t="shared" ref="K3:K15" si="2">MAX(C3:G3)</f>
        <v>97</v>
      </c>
      <c r="L3" s="1">
        <f t="shared" ref="L3:L15" si="3">MIN(C3:G3)</f>
        <v>13</v>
      </c>
      <c r="M3" s="1">
        <f t="shared" ref="M3:M15" si="4">COUNT(C3:G3)</f>
        <v>5</v>
      </c>
      <c r="N3" s="39">
        <f>H3/500</f>
        <v>0.45400000000000001</v>
      </c>
      <c r="O3" s="1">
        <f>(H3/500)*100</f>
        <v>45.4</v>
      </c>
      <c r="R3">
        <f>COUNTIFS(C3:C15,"&gt;20",B3:B15,"Ruchi")</f>
        <v>1</v>
      </c>
    </row>
    <row r="4" spans="1:18" x14ac:dyDescent="0.3">
      <c r="A4" s="38">
        <v>4</v>
      </c>
      <c r="B4" s="38" t="s">
        <v>142</v>
      </c>
      <c r="C4" s="38">
        <v>69</v>
      </c>
      <c r="D4" s="38">
        <v>85</v>
      </c>
      <c r="E4" s="38">
        <v>86</v>
      </c>
      <c r="F4" s="38">
        <v>51</v>
      </c>
      <c r="G4" s="38">
        <v>53</v>
      </c>
      <c r="H4" s="1">
        <f t="shared" si="0"/>
        <v>344</v>
      </c>
      <c r="I4" s="1">
        <f t="shared" si="1"/>
        <v>68.8</v>
      </c>
      <c r="J4" s="1" t="str">
        <f t="shared" ref="J4:J15" si="5">IF(I4&gt;65,"A",IF(I4&gt;55,"B",IF(I4&gt;40,"C",IF(I4&gt;30,"D"))))</f>
        <v>A</v>
      </c>
      <c r="K4" s="1">
        <f t="shared" si="2"/>
        <v>86</v>
      </c>
      <c r="L4" s="1">
        <f t="shared" si="3"/>
        <v>51</v>
      </c>
      <c r="M4" s="1">
        <f t="shared" si="4"/>
        <v>5</v>
      </c>
      <c r="N4" s="39">
        <f t="shared" ref="N4:N15" si="6">H4/500</f>
        <v>0.68799999999999994</v>
      </c>
      <c r="O4" s="1">
        <f>(H4/500)*100</f>
        <v>68.8</v>
      </c>
    </row>
    <row r="5" spans="1:18" x14ac:dyDescent="0.3">
      <c r="A5" s="38">
        <v>1</v>
      </c>
      <c r="B5" s="38" t="s">
        <v>142</v>
      </c>
      <c r="C5" s="38">
        <v>15</v>
      </c>
      <c r="D5" s="38">
        <v>72</v>
      </c>
      <c r="E5" s="38">
        <v>41</v>
      </c>
      <c r="F5" s="38">
        <v>53</v>
      </c>
      <c r="G5" s="38">
        <v>40</v>
      </c>
      <c r="H5" s="1">
        <f t="shared" si="0"/>
        <v>221</v>
      </c>
      <c r="I5" s="1">
        <f t="shared" si="1"/>
        <v>44.2</v>
      </c>
      <c r="J5" s="1" t="str">
        <f t="shared" si="5"/>
        <v>C</v>
      </c>
      <c r="K5" s="1">
        <f t="shared" si="2"/>
        <v>72</v>
      </c>
      <c r="L5" s="1">
        <f t="shared" si="3"/>
        <v>15</v>
      </c>
      <c r="M5" s="1">
        <f t="shared" si="4"/>
        <v>5</v>
      </c>
      <c r="N5" s="39">
        <f t="shared" si="6"/>
        <v>0.442</v>
      </c>
      <c r="O5" s="1">
        <f t="shared" ref="O5:O15" si="7">(H5/500)*100</f>
        <v>44.2</v>
      </c>
    </row>
    <row r="6" spans="1:18" x14ac:dyDescent="0.3">
      <c r="A6" s="38">
        <v>7</v>
      </c>
      <c r="B6" s="38" t="s">
        <v>143</v>
      </c>
      <c r="C6" s="38">
        <v>75</v>
      </c>
      <c r="D6" s="38">
        <v>68</v>
      </c>
      <c r="E6" s="38">
        <v>46</v>
      </c>
      <c r="F6" s="38">
        <v>11</v>
      </c>
      <c r="G6" s="38">
        <v>22</v>
      </c>
      <c r="H6" s="1">
        <f t="shared" si="0"/>
        <v>222</v>
      </c>
      <c r="I6" s="1">
        <f t="shared" si="1"/>
        <v>44.4</v>
      </c>
      <c r="J6" s="1" t="str">
        <f t="shared" si="5"/>
        <v>C</v>
      </c>
      <c r="K6" s="1">
        <f t="shared" si="2"/>
        <v>75</v>
      </c>
      <c r="L6" s="1">
        <f t="shared" si="3"/>
        <v>11</v>
      </c>
      <c r="M6" s="1">
        <f t="shared" si="4"/>
        <v>5</v>
      </c>
      <c r="N6" s="39">
        <f t="shared" si="6"/>
        <v>0.44400000000000001</v>
      </c>
      <c r="O6" s="1">
        <f t="shared" si="7"/>
        <v>44.4</v>
      </c>
    </row>
    <row r="7" spans="1:18" x14ac:dyDescent="0.3">
      <c r="A7" s="38">
        <v>6</v>
      </c>
      <c r="B7" s="38" t="s">
        <v>144</v>
      </c>
      <c r="C7" s="38">
        <v>55</v>
      </c>
      <c r="D7" s="38">
        <v>31</v>
      </c>
      <c r="E7" s="38">
        <v>56</v>
      </c>
      <c r="F7" s="38">
        <v>93</v>
      </c>
      <c r="G7" s="38">
        <v>93</v>
      </c>
      <c r="H7" s="1">
        <f t="shared" si="0"/>
        <v>328</v>
      </c>
      <c r="I7" s="1">
        <f t="shared" si="1"/>
        <v>65.599999999999994</v>
      </c>
      <c r="J7" s="1" t="str">
        <f t="shared" si="5"/>
        <v>A</v>
      </c>
      <c r="K7" s="1">
        <f t="shared" si="2"/>
        <v>93</v>
      </c>
      <c r="L7" s="1">
        <f t="shared" si="3"/>
        <v>31</v>
      </c>
      <c r="M7" s="1">
        <f t="shared" si="4"/>
        <v>5</v>
      </c>
      <c r="N7" s="39">
        <f t="shared" si="6"/>
        <v>0.65600000000000003</v>
      </c>
      <c r="O7" s="1">
        <f t="shared" si="7"/>
        <v>65.600000000000009</v>
      </c>
    </row>
    <row r="8" spans="1:18" x14ac:dyDescent="0.3">
      <c r="A8" s="38">
        <v>3</v>
      </c>
      <c r="B8" s="38" t="s">
        <v>145</v>
      </c>
      <c r="C8" s="38">
        <v>84</v>
      </c>
      <c r="D8" s="38">
        <v>57</v>
      </c>
      <c r="E8" s="38">
        <v>68</v>
      </c>
      <c r="F8" s="38">
        <v>30</v>
      </c>
      <c r="G8" s="38">
        <v>30</v>
      </c>
      <c r="H8" s="1">
        <f t="shared" si="0"/>
        <v>269</v>
      </c>
      <c r="I8" s="1">
        <f t="shared" si="1"/>
        <v>53.8</v>
      </c>
      <c r="J8" s="1" t="str">
        <f t="shared" si="5"/>
        <v>C</v>
      </c>
      <c r="K8" s="1">
        <f t="shared" si="2"/>
        <v>84</v>
      </c>
      <c r="L8" s="1">
        <f t="shared" si="3"/>
        <v>30</v>
      </c>
      <c r="M8" s="1">
        <f t="shared" si="4"/>
        <v>5</v>
      </c>
      <c r="N8" s="39">
        <f t="shared" si="6"/>
        <v>0.53800000000000003</v>
      </c>
      <c r="O8" s="1">
        <f t="shared" si="7"/>
        <v>53.800000000000004</v>
      </c>
    </row>
    <row r="9" spans="1:18" x14ac:dyDescent="0.3">
      <c r="A9" s="38">
        <v>5</v>
      </c>
      <c r="B9" s="38" t="s">
        <v>146</v>
      </c>
      <c r="C9" s="38">
        <v>18</v>
      </c>
      <c r="D9" s="38">
        <v>46</v>
      </c>
      <c r="E9" s="38">
        <v>51</v>
      </c>
      <c r="F9" s="38">
        <v>63</v>
      </c>
      <c r="G9" s="38">
        <v>22</v>
      </c>
      <c r="H9" s="1">
        <f t="shared" si="0"/>
        <v>200</v>
      </c>
      <c r="I9" s="1">
        <f t="shared" si="1"/>
        <v>40</v>
      </c>
      <c r="J9" s="1" t="str">
        <f t="shared" si="5"/>
        <v>D</v>
      </c>
      <c r="K9" s="1">
        <f t="shared" si="2"/>
        <v>63</v>
      </c>
      <c r="L9" s="1">
        <f t="shared" si="3"/>
        <v>18</v>
      </c>
      <c r="M9" s="1">
        <f t="shared" si="4"/>
        <v>5</v>
      </c>
      <c r="N9" s="39">
        <f t="shared" si="6"/>
        <v>0.4</v>
      </c>
      <c r="O9" s="1">
        <f t="shared" si="7"/>
        <v>40</v>
      </c>
    </row>
    <row r="10" spans="1:18" x14ac:dyDescent="0.3">
      <c r="A10" s="38">
        <v>8</v>
      </c>
      <c r="B10" s="38" t="s">
        <v>147</v>
      </c>
      <c r="C10" s="38">
        <v>93</v>
      </c>
      <c r="D10" s="38">
        <v>93</v>
      </c>
      <c r="E10" s="38">
        <v>31</v>
      </c>
      <c r="F10" s="38">
        <v>93</v>
      </c>
      <c r="G10" s="38">
        <v>20</v>
      </c>
      <c r="H10" s="1">
        <f t="shared" si="0"/>
        <v>330</v>
      </c>
      <c r="I10" s="1">
        <f t="shared" si="1"/>
        <v>66</v>
      </c>
      <c r="J10" s="1" t="str">
        <f t="shared" si="5"/>
        <v>A</v>
      </c>
      <c r="K10" s="1">
        <f t="shared" si="2"/>
        <v>93</v>
      </c>
      <c r="L10" s="1">
        <f t="shared" si="3"/>
        <v>20</v>
      </c>
      <c r="M10" s="1">
        <f t="shared" si="4"/>
        <v>5</v>
      </c>
      <c r="N10" s="39">
        <f t="shared" si="6"/>
        <v>0.66</v>
      </c>
      <c r="O10" s="1">
        <f t="shared" si="7"/>
        <v>66</v>
      </c>
    </row>
    <row r="11" spans="1:18" x14ac:dyDescent="0.3">
      <c r="A11" s="38">
        <v>9</v>
      </c>
      <c r="B11" s="38" t="s">
        <v>148</v>
      </c>
      <c r="C11" s="38">
        <v>33</v>
      </c>
      <c r="D11" s="38">
        <v>89</v>
      </c>
      <c r="E11" s="38">
        <v>55</v>
      </c>
      <c r="F11" s="38">
        <v>46</v>
      </c>
      <c r="G11" s="38">
        <v>69</v>
      </c>
      <c r="H11" s="1">
        <f t="shared" si="0"/>
        <v>292</v>
      </c>
      <c r="I11" s="1">
        <f t="shared" si="1"/>
        <v>58.4</v>
      </c>
      <c r="J11" s="1" t="str">
        <f t="shared" si="5"/>
        <v>B</v>
      </c>
      <c r="K11" s="1">
        <f t="shared" si="2"/>
        <v>89</v>
      </c>
      <c r="L11" s="1">
        <f t="shared" si="3"/>
        <v>33</v>
      </c>
      <c r="M11" s="1">
        <f t="shared" si="4"/>
        <v>5</v>
      </c>
      <c r="N11" s="39">
        <f t="shared" si="6"/>
        <v>0.58399999999999996</v>
      </c>
      <c r="O11" s="1">
        <f t="shared" si="7"/>
        <v>58.4</v>
      </c>
    </row>
    <row r="12" spans="1:18" x14ac:dyDescent="0.3">
      <c r="A12" s="38">
        <v>11</v>
      </c>
      <c r="B12" s="38" t="s">
        <v>149</v>
      </c>
      <c r="C12" s="38">
        <v>21</v>
      </c>
      <c r="D12" s="38">
        <v>27</v>
      </c>
      <c r="E12" s="38">
        <v>84</v>
      </c>
      <c r="F12" s="38">
        <v>82</v>
      </c>
      <c r="G12" s="38">
        <v>93</v>
      </c>
      <c r="H12" s="1">
        <f t="shared" si="0"/>
        <v>307</v>
      </c>
      <c r="I12" s="1">
        <f t="shared" si="1"/>
        <v>61.4</v>
      </c>
      <c r="J12" s="1" t="str">
        <f t="shared" si="5"/>
        <v>B</v>
      </c>
      <c r="K12" s="1">
        <f t="shared" si="2"/>
        <v>93</v>
      </c>
      <c r="L12" s="1">
        <f t="shared" si="3"/>
        <v>21</v>
      </c>
      <c r="M12" s="1">
        <f t="shared" si="4"/>
        <v>5</v>
      </c>
      <c r="N12" s="39">
        <f t="shared" si="6"/>
        <v>0.61399999999999999</v>
      </c>
      <c r="O12" s="1">
        <f t="shared" si="7"/>
        <v>61.4</v>
      </c>
    </row>
    <row r="13" spans="1:18" x14ac:dyDescent="0.3">
      <c r="A13" s="38">
        <v>13</v>
      </c>
      <c r="B13" s="38" t="s">
        <v>150</v>
      </c>
      <c r="C13" s="38">
        <v>13</v>
      </c>
      <c r="D13" s="38">
        <v>48</v>
      </c>
      <c r="E13" s="38">
        <v>27</v>
      </c>
      <c r="F13" s="38">
        <v>26</v>
      </c>
      <c r="G13" s="38">
        <v>38</v>
      </c>
      <c r="H13" s="1">
        <f t="shared" si="0"/>
        <v>152</v>
      </c>
      <c r="I13" s="1">
        <f t="shared" si="1"/>
        <v>30.4</v>
      </c>
      <c r="J13" s="1" t="str">
        <f t="shared" si="5"/>
        <v>D</v>
      </c>
      <c r="K13" s="1">
        <f t="shared" si="2"/>
        <v>48</v>
      </c>
      <c r="L13" s="1">
        <f t="shared" si="3"/>
        <v>13</v>
      </c>
      <c r="M13" s="1">
        <f t="shared" si="4"/>
        <v>5</v>
      </c>
      <c r="N13" s="39">
        <f t="shared" si="6"/>
        <v>0.30399999999999999</v>
      </c>
      <c r="O13" s="1">
        <f t="shared" si="7"/>
        <v>30.4</v>
      </c>
    </row>
    <row r="14" spans="1:18" x14ac:dyDescent="0.3">
      <c r="A14" s="38">
        <v>10</v>
      </c>
      <c r="B14" s="38" t="s">
        <v>151</v>
      </c>
      <c r="C14" s="38">
        <v>85</v>
      </c>
      <c r="D14" s="38">
        <v>74</v>
      </c>
      <c r="E14" s="38">
        <v>26</v>
      </c>
      <c r="F14" s="38">
        <v>53</v>
      </c>
      <c r="G14" s="38">
        <v>64</v>
      </c>
      <c r="H14" s="1">
        <f t="shared" si="0"/>
        <v>302</v>
      </c>
      <c r="I14" s="1">
        <f t="shared" si="1"/>
        <v>60.4</v>
      </c>
      <c r="J14" s="1" t="str">
        <f t="shared" si="5"/>
        <v>B</v>
      </c>
      <c r="K14" s="1">
        <f t="shared" si="2"/>
        <v>85</v>
      </c>
      <c r="L14" s="1">
        <f t="shared" si="3"/>
        <v>26</v>
      </c>
      <c r="M14" s="1">
        <f t="shared" si="4"/>
        <v>5</v>
      </c>
      <c r="N14" s="39">
        <f t="shared" si="6"/>
        <v>0.60399999999999998</v>
      </c>
      <c r="O14" s="1">
        <f t="shared" si="7"/>
        <v>60.4</v>
      </c>
    </row>
    <row r="15" spans="1:18" x14ac:dyDescent="0.3">
      <c r="A15" s="38">
        <v>12</v>
      </c>
      <c r="B15" s="38" t="s">
        <v>152</v>
      </c>
      <c r="C15" s="38">
        <v>28</v>
      </c>
      <c r="D15" s="38">
        <v>31</v>
      </c>
      <c r="E15" s="38">
        <v>27</v>
      </c>
      <c r="F15" s="38">
        <v>77</v>
      </c>
      <c r="G15" s="38">
        <v>17</v>
      </c>
      <c r="H15" s="1">
        <f t="shared" si="0"/>
        <v>180</v>
      </c>
      <c r="I15" s="1">
        <f t="shared" si="1"/>
        <v>36</v>
      </c>
      <c r="J15" s="1" t="str">
        <f t="shared" si="5"/>
        <v>D</v>
      </c>
      <c r="K15" s="1">
        <f t="shared" si="2"/>
        <v>77</v>
      </c>
      <c r="L15" s="1">
        <f t="shared" si="3"/>
        <v>17</v>
      </c>
      <c r="M15" s="1">
        <f t="shared" si="4"/>
        <v>5</v>
      </c>
      <c r="N15" s="39">
        <f t="shared" si="6"/>
        <v>0.36</v>
      </c>
      <c r="O15" s="1">
        <f t="shared" si="7"/>
        <v>36</v>
      </c>
    </row>
    <row r="18" spans="3:17" ht="15" thickBot="1" x14ac:dyDescent="0.35"/>
    <row r="19" spans="3:17" ht="21" x14ac:dyDescent="0.3">
      <c r="C19" s="53" t="s">
        <v>124</v>
      </c>
      <c r="D19" s="54"/>
      <c r="E19" s="54"/>
      <c r="F19" s="54"/>
      <c r="G19" s="55"/>
      <c r="I19" s="23"/>
      <c r="J19" s="42"/>
      <c r="K19" s="42"/>
      <c r="L19" s="43"/>
    </row>
    <row r="20" spans="3:17" ht="15.6" x14ac:dyDescent="0.3">
      <c r="C20" s="47" t="s">
        <v>109</v>
      </c>
      <c r="D20" s="48"/>
      <c r="E20" s="48"/>
      <c r="F20" s="48"/>
      <c r="G20" s="49"/>
      <c r="H20" s="24"/>
      <c r="I20" s="24"/>
      <c r="J20" s="44"/>
      <c r="K20" s="44"/>
    </row>
    <row r="21" spans="3:17" ht="15.6" x14ac:dyDescent="0.3">
      <c r="C21" s="50" t="s">
        <v>110</v>
      </c>
      <c r="D21" s="51"/>
      <c r="E21" s="51"/>
      <c r="F21" s="51"/>
      <c r="G21" s="52"/>
      <c r="H21" s="24"/>
      <c r="I21" s="24"/>
    </row>
    <row r="22" spans="3:17" ht="15.6" x14ac:dyDescent="0.3">
      <c r="C22" s="28" t="s">
        <v>122</v>
      </c>
      <c r="D22" t="str">
        <f>VLOOKUP(D23,A2:O15,2,0)</f>
        <v xml:space="preserve">Chetan </v>
      </c>
      <c r="F22" s="26" t="s">
        <v>113</v>
      </c>
      <c r="G22" s="29"/>
    </row>
    <row r="23" spans="3:17" ht="15.6" x14ac:dyDescent="0.3">
      <c r="C23" s="28" t="s">
        <v>111</v>
      </c>
      <c r="D23">
        <v>6</v>
      </c>
      <c r="F23" s="26" t="s">
        <v>130</v>
      </c>
      <c r="G23" s="29"/>
    </row>
    <row r="24" spans="3:17" ht="15.6" x14ac:dyDescent="0.3">
      <c r="C24" s="28" t="s">
        <v>112</v>
      </c>
      <c r="G24" s="29"/>
    </row>
    <row r="25" spans="3:17" x14ac:dyDescent="0.3">
      <c r="C25" s="30"/>
      <c r="G25" s="29"/>
    </row>
    <row r="26" spans="3:17" ht="15.6" x14ac:dyDescent="0.3">
      <c r="C26" s="31" t="s">
        <v>114</v>
      </c>
      <c r="D26" s="22" t="s">
        <v>126</v>
      </c>
      <c r="E26" s="22" t="s">
        <v>119</v>
      </c>
      <c r="F26" s="22" t="s">
        <v>121</v>
      </c>
      <c r="G26" s="32" t="s">
        <v>123</v>
      </c>
      <c r="Q26" t="s">
        <v>155</v>
      </c>
    </row>
    <row r="27" spans="3:17" ht="15.6" x14ac:dyDescent="0.3">
      <c r="C27" s="33" t="s">
        <v>153</v>
      </c>
      <c r="D27" s="21">
        <f>VLOOKUP(D23,A2:O15,3,0)</f>
        <v>55</v>
      </c>
      <c r="E27" s="21">
        <v>33</v>
      </c>
      <c r="F27" s="21" t="str">
        <f>IF(D27&gt;60,"A",IF(D27&gt;55,"B",IF(D27&gt;40,"C",IF(D27&lt;41,"D"))))</f>
        <v>C</v>
      </c>
      <c r="G27" s="34" t="str">
        <f>IF(D27&gt;33,"Good", "Bad")</f>
        <v>Good</v>
      </c>
    </row>
    <row r="28" spans="3:17" ht="15.6" x14ac:dyDescent="0.3">
      <c r="C28" s="33" t="s">
        <v>115</v>
      </c>
      <c r="D28" s="21">
        <f>VLOOKUP(D23,A2:O15,4,0)</f>
        <v>31</v>
      </c>
      <c r="E28" s="21">
        <v>33</v>
      </c>
      <c r="F28" s="21" t="str">
        <f>IF(D28&gt;60,"A",IF(D28&gt;55,"B",IF(D28&gt;40,"C",IF(D28&lt;41,"D"))))</f>
        <v>D</v>
      </c>
      <c r="G28" s="34" t="str">
        <f>IF(D28&gt;33,"Good", "Bad")</f>
        <v>Bad</v>
      </c>
    </row>
    <row r="29" spans="3:17" ht="15.6" x14ac:dyDescent="0.3">
      <c r="C29" s="33" t="s">
        <v>116</v>
      </c>
      <c r="D29" s="21">
        <f>VLOOKUP(D23,A2:O15,5,0)</f>
        <v>56</v>
      </c>
      <c r="E29" s="21">
        <v>33</v>
      </c>
      <c r="F29" s="21" t="str">
        <f>IF(D29&gt;60,"A",IF(D29&gt;55,"B",IF(D29&gt;40,"C",IF(D29&lt;41,"D"))))</f>
        <v>B</v>
      </c>
      <c r="G29" s="34" t="str">
        <f>IF(D29&gt;33,"Good", "Bad")</f>
        <v>Good</v>
      </c>
    </row>
    <row r="30" spans="3:17" ht="15.6" x14ac:dyDescent="0.3">
      <c r="C30" s="33" t="s">
        <v>117</v>
      </c>
      <c r="D30" s="21">
        <f>VLOOKUP(D23,A2:O15,6,0)</f>
        <v>93</v>
      </c>
      <c r="E30" s="21">
        <v>33</v>
      </c>
      <c r="F30" s="21" t="str">
        <f>IF(D30&gt;60,"A",IF(D30&gt;55,"B",IF(D30&gt;40,"C",IF(D30&lt;41,"D"))))</f>
        <v>A</v>
      </c>
      <c r="G30" s="34" t="str">
        <f>IF(D30&gt;33,"Good", "Bad")</f>
        <v>Good</v>
      </c>
    </row>
    <row r="31" spans="3:17" ht="15.6" x14ac:dyDescent="0.3">
      <c r="C31" s="33" t="s">
        <v>118</v>
      </c>
      <c r="D31" s="21">
        <f>VLOOKUP(D23,A2:O15,7,0)</f>
        <v>93</v>
      </c>
      <c r="E31" s="21">
        <v>33</v>
      </c>
      <c r="F31" s="21" t="str">
        <f>IF(D31&gt;60,"A",IF(D31&gt;55,"B",IF(D31&gt;40,"C",IF(D31&lt;41,"D"))))</f>
        <v>A</v>
      </c>
      <c r="G31" s="34" t="str">
        <f>IF(D31&gt;33,"Good", "Bad")</f>
        <v>Good</v>
      </c>
    </row>
    <row r="32" spans="3:17" x14ac:dyDescent="0.3">
      <c r="C32" s="35" t="s">
        <v>120</v>
      </c>
      <c r="D32" s="21">
        <f>SUM(D27:D31)</f>
        <v>328</v>
      </c>
      <c r="E32" s="21">
        <v>33</v>
      </c>
      <c r="F32" s="21"/>
      <c r="G32" s="34"/>
    </row>
    <row r="33" spans="3:7" x14ac:dyDescent="0.3">
      <c r="C33" s="30"/>
      <c r="G33" s="29"/>
    </row>
    <row r="34" spans="3:7" ht="15.6" x14ac:dyDescent="0.3">
      <c r="C34" s="28" t="s">
        <v>125</v>
      </c>
      <c r="D34" s="25">
        <f>D32/5</f>
        <v>65.599999999999994</v>
      </c>
      <c r="E34" s="26" t="s">
        <v>127</v>
      </c>
      <c r="F34" s="27" t="str">
        <f>IF(D34&gt;45,"Pass","Fail")</f>
        <v>Pass</v>
      </c>
      <c r="G34" s="29"/>
    </row>
    <row r="35" spans="3:7" x14ac:dyDescent="0.3">
      <c r="C35" s="30"/>
      <c r="G35" s="29"/>
    </row>
    <row r="36" spans="3:7" ht="15.6" x14ac:dyDescent="0.3">
      <c r="C36" s="28" t="s">
        <v>128</v>
      </c>
      <c r="G36" s="29"/>
    </row>
    <row r="37" spans="3:7" x14ac:dyDescent="0.3">
      <c r="C37" s="30"/>
      <c r="G37" s="29"/>
    </row>
    <row r="38" spans="3:7" x14ac:dyDescent="0.3">
      <c r="C38" s="30" t="s">
        <v>129</v>
      </c>
      <c r="G38" s="29"/>
    </row>
    <row r="39" spans="3:7" x14ac:dyDescent="0.3">
      <c r="C39" s="30"/>
      <c r="G39" s="29"/>
    </row>
    <row r="40" spans="3:7" ht="15" thickBot="1" x14ac:dyDescent="0.35">
      <c r="C40" s="36"/>
      <c r="D40" s="20"/>
      <c r="E40" s="20"/>
      <c r="F40" s="20"/>
      <c r="G40" s="37"/>
    </row>
  </sheetData>
  <mergeCells count="3">
    <mergeCell ref="C20:G20"/>
    <mergeCell ref="C21:G21"/>
    <mergeCell ref="C19:G19"/>
  </mergeCells>
  <pageMargins left="0.7" right="0.7" top="0.75" bottom="0.75" header="0.3" footer="0.3"/>
  <ignoredErrors>
    <ignoredError sqref="H3:H9 H10:I10 K10:M10 H11:I11 K11:M11 H12:I12 K12:M12 H13:I13 K13:M13 H14:I14 K14:M14 H15:I15 K15:M15 I3:I9 K3:M9" formulaRange="1"/>
  </ignoredErrors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898A280-1824-4A6D-A3B4-BBABD3BB66B8}">
  <dimension ref="A1"/>
  <sheetViews>
    <sheetView workbookViewId="0">
      <selection activeCell="J19" sqref="J19"/>
    </sheetView>
  </sheetViews>
  <sheetFormatPr defaultRowHeight="14.4" x14ac:dyDescent="0.3"/>
  <sheetData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6E57C6F-C147-4B58-BFC6-A53FC283522C}">
  <dimension ref="A1:C13"/>
  <sheetViews>
    <sheetView workbookViewId="0">
      <selection activeCell="O16" sqref="O16"/>
    </sheetView>
  </sheetViews>
  <sheetFormatPr defaultRowHeight="14.4" x14ac:dyDescent="0.3"/>
  <cols>
    <col min="1" max="1" width="12.5546875" bestFit="1" customWidth="1"/>
    <col min="2" max="3" width="15.88671875" bestFit="1" customWidth="1"/>
    <col min="4" max="4" width="15.109375" bestFit="1" customWidth="1"/>
  </cols>
  <sheetData>
    <row r="1" spans="1:3" x14ac:dyDescent="0.3">
      <c r="A1" s="40" t="s">
        <v>173</v>
      </c>
      <c r="B1" t="s">
        <v>175</v>
      </c>
      <c r="C1" t="s">
        <v>176</v>
      </c>
    </row>
    <row r="2" spans="1:3" x14ac:dyDescent="0.3">
      <c r="A2" s="41" t="s">
        <v>161</v>
      </c>
      <c r="B2">
        <v>19280</v>
      </c>
      <c r="C2">
        <v>14162</v>
      </c>
    </row>
    <row r="3" spans="1:3" x14ac:dyDescent="0.3">
      <c r="A3" s="41" t="s">
        <v>76</v>
      </c>
      <c r="B3">
        <v>19290</v>
      </c>
      <c r="C3">
        <v>14260</v>
      </c>
    </row>
    <row r="4" spans="1:3" x14ac:dyDescent="0.3">
      <c r="A4" s="41" t="s">
        <v>172</v>
      </c>
      <c r="B4">
        <v>12181</v>
      </c>
      <c r="C4">
        <v>12244</v>
      </c>
    </row>
    <row r="5" spans="1:3" x14ac:dyDescent="0.3">
      <c r="A5" s="41" t="s">
        <v>167</v>
      </c>
      <c r="B5">
        <v>12997</v>
      </c>
      <c r="C5">
        <v>13782</v>
      </c>
    </row>
    <row r="6" spans="1:3" x14ac:dyDescent="0.3">
      <c r="A6" s="41" t="s">
        <v>163</v>
      </c>
      <c r="B6">
        <v>15469</v>
      </c>
      <c r="C6">
        <v>13490</v>
      </c>
    </row>
    <row r="7" spans="1:3" x14ac:dyDescent="0.3">
      <c r="A7" s="41" t="s">
        <v>165</v>
      </c>
      <c r="B7">
        <v>15307</v>
      </c>
      <c r="C7">
        <v>18054</v>
      </c>
    </row>
    <row r="8" spans="1:3" x14ac:dyDescent="0.3">
      <c r="A8" s="41" t="s">
        <v>80</v>
      </c>
      <c r="B8">
        <v>15447</v>
      </c>
      <c r="C8">
        <v>17845</v>
      </c>
    </row>
    <row r="9" spans="1:3" x14ac:dyDescent="0.3">
      <c r="A9" s="41" t="s">
        <v>170</v>
      </c>
      <c r="B9">
        <v>17490</v>
      </c>
      <c r="C9">
        <v>16815</v>
      </c>
    </row>
    <row r="10" spans="1:3" x14ac:dyDescent="0.3">
      <c r="A10" s="41" t="s">
        <v>168</v>
      </c>
      <c r="B10">
        <v>16780</v>
      </c>
      <c r="C10">
        <v>18535</v>
      </c>
    </row>
    <row r="11" spans="1:3" x14ac:dyDescent="0.3">
      <c r="A11" s="41" t="s">
        <v>166</v>
      </c>
      <c r="B11">
        <v>16323</v>
      </c>
      <c r="C11">
        <v>15658</v>
      </c>
    </row>
    <row r="12" spans="1:3" x14ac:dyDescent="0.3">
      <c r="A12" s="41" t="s">
        <v>171</v>
      </c>
      <c r="B12">
        <v>18143</v>
      </c>
      <c r="C12">
        <v>19515</v>
      </c>
    </row>
    <row r="13" spans="1:3" x14ac:dyDescent="0.3">
      <c r="A13" s="41" t="s">
        <v>174</v>
      </c>
      <c r="B13">
        <v>178707</v>
      </c>
      <c r="C13">
        <v>174360</v>
      </c>
    </row>
  </sheetData>
  <pageMargins left="0.7" right="0.7" top="0.75" bottom="0.75" header="0.3" footer="0.3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0C5B71-2DC2-435B-BAF3-3B8C0CFFBD57}">
  <dimension ref="A1:E12"/>
  <sheetViews>
    <sheetView workbookViewId="0">
      <selection activeCell="I12" sqref="I12"/>
    </sheetView>
  </sheetViews>
  <sheetFormatPr defaultRowHeight="14.4" x14ac:dyDescent="0.3"/>
  <cols>
    <col min="1" max="1" width="15.88671875" bestFit="1" customWidth="1"/>
    <col min="2" max="2" width="11.21875" bestFit="1" customWidth="1"/>
    <col min="3" max="4" width="9.21875" bestFit="1" customWidth="1"/>
    <col min="5" max="5" width="8.5546875" bestFit="1" customWidth="1"/>
  </cols>
  <sheetData>
    <row r="1" spans="1:5" x14ac:dyDescent="0.3">
      <c r="A1" s="1" t="s">
        <v>156</v>
      </c>
      <c r="B1" s="38" t="s">
        <v>157</v>
      </c>
      <c r="C1" s="38" t="s">
        <v>158</v>
      </c>
      <c r="D1" s="38" t="s">
        <v>159</v>
      </c>
      <c r="E1" s="38" t="s">
        <v>160</v>
      </c>
    </row>
    <row r="2" spans="1:5" x14ac:dyDescent="0.3">
      <c r="A2" s="1" t="s">
        <v>161</v>
      </c>
      <c r="B2" s="38" t="s">
        <v>162</v>
      </c>
      <c r="C2" s="38">
        <v>19280</v>
      </c>
      <c r="D2" s="38">
        <v>14162</v>
      </c>
      <c r="E2" s="1">
        <f>SUM(C2:D2)</f>
        <v>33442</v>
      </c>
    </row>
    <row r="3" spans="1:5" x14ac:dyDescent="0.3">
      <c r="A3" s="1" t="s">
        <v>163</v>
      </c>
      <c r="B3" s="38" t="s">
        <v>162</v>
      </c>
      <c r="C3" s="38">
        <v>15469</v>
      </c>
      <c r="D3" s="38">
        <v>13490</v>
      </c>
      <c r="E3" s="1">
        <f t="shared" ref="E3:E12" si="0">SUM(C3:D3)</f>
        <v>28959</v>
      </c>
    </row>
    <row r="4" spans="1:5" x14ac:dyDescent="0.3">
      <c r="A4" s="1" t="s">
        <v>76</v>
      </c>
      <c r="B4" s="38" t="s">
        <v>164</v>
      </c>
      <c r="C4" s="38">
        <v>19290</v>
      </c>
      <c r="D4" s="38">
        <v>14260</v>
      </c>
      <c r="E4" s="1">
        <f t="shared" si="0"/>
        <v>33550</v>
      </c>
    </row>
    <row r="5" spans="1:5" x14ac:dyDescent="0.3">
      <c r="A5" s="1" t="s">
        <v>165</v>
      </c>
      <c r="B5" s="38" t="s">
        <v>162</v>
      </c>
      <c r="C5" s="38">
        <v>15307</v>
      </c>
      <c r="D5" s="38">
        <v>18054</v>
      </c>
      <c r="E5" s="1">
        <f t="shared" si="0"/>
        <v>33361</v>
      </c>
    </row>
    <row r="6" spans="1:5" x14ac:dyDescent="0.3">
      <c r="A6" s="1" t="s">
        <v>80</v>
      </c>
      <c r="B6" s="38" t="s">
        <v>164</v>
      </c>
      <c r="C6" s="38">
        <v>15447</v>
      </c>
      <c r="D6" s="38">
        <v>17845</v>
      </c>
      <c r="E6" s="1">
        <f t="shared" si="0"/>
        <v>33292</v>
      </c>
    </row>
    <row r="7" spans="1:5" x14ac:dyDescent="0.3">
      <c r="A7" s="1" t="s">
        <v>166</v>
      </c>
      <c r="B7" s="38" t="s">
        <v>162</v>
      </c>
      <c r="C7" s="38">
        <v>16323</v>
      </c>
      <c r="D7" s="38">
        <v>15658</v>
      </c>
      <c r="E7" s="1">
        <f t="shared" si="0"/>
        <v>31981</v>
      </c>
    </row>
    <row r="8" spans="1:5" x14ac:dyDescent="0.3">
      <c r="A8" s="1" t="s">
        <v>167</v>
      </c>
      <c r="B8" s="38" t="s">
        <v>162</v>
      </c>
      <c r="C8" s="38">
        <v>12997</v>
      </c>
      <c r="D8" s="38">
        <v>13782</v>
      </c>
      <c r="E8" s="1">
        <f t="shared" si="0"/>
        <v>26779</v>
      </c>
    </row>
    <row r="9" spans="1:5" x14ac:dyDescent="0.3">
      <c r="A9" s="1" t="s">
        <v>168</v>
      </c>
      <c r="B9" s="38" t="s">
        <v>169</v>
      </c>
      <c r="C9" s="38">
        <v>16780</v>
      </c>
      <c r="D9" s="38">
        <v>18535</v>
      </c>
      <c r="E9" s="1">
        <f t="shared" si="0"/>
        <v>35315</v>
      </c>
    </row>
    <row r="10" spans="1:5" x14ac:dyDescent="0.3">
      <c r="A10" s="1" t="s">
        <v>170</v>
      </c>
      <c r="B10" s="38" t="s">
        <v>169</v>
      </c>
      <c r="C10" s="38">
        <v>17490</v>
      </c>
      <c r="D10" s="38">
        <v>16815</v>
      </c>
      <c r="E10" s="1">
        <f t="shared" si="0"/>
        <v>34305</v>
      </c>
    </row>
    <row r="11" spans="1:5" x14ac:dyDescent="0.3">
      <c r="A11" s="1" t="s">
        <v>171</v>
      </c>
      <c r="B11" s="38" t="s">
        <v>169</v>
      </c>
      <c r="C11" s="38">
        <v>18143</v>
      </c>
      <c r="D11" s="38">
        <v>19515</v>
      </c>
      <c r="E11" s="1">
        <f t="shared" si="0"/>
        <v>37658</v>
      </c>
    </row>
    <row r="12" spans="1:5" x14ac:dyDescent="0.3">
      <c r="A12" s="1" t="s">
        <v>172</v>
      </c>
      <c r="B12" s="38" t="s">
        <v>164</v>
      </c>
      <c r="C12" s="38">
        <v>12181</v>
      </c>
      <c r="D12" s="38">
        <v>12244</v>
      </c>
      <c r="E12" s="1">
        <f t="shared" si="0"/>
        <v>24425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912DAE1-08BB-4911-B9B6-0D18971470CE}">
  <dimension ref="A1:E4"/>
  <sheetViews>
    <sheetView tabSelected="1" workbookViewId="0">
      <selection activeCell="M17" sqref="M17"/>
    </sheetView>
  </sheetViews>
  <sheetFormatPr defaultRowHeight="14.4" x14ac:dyDescent="0.3"/>
  <cols>
    <col min="5" max="5" width="11.21875" customWidth="1"/>
  </cols>
  <sheetData>
    <row r="1" spans="1:5" x14ac:dyDescent="0.3">
      <c r="A1" t="s">
        <v>177</v>
      </c>
      <c r="B1" t="s">
        <v>178</v>
      </c>
      <c r="C1" t="s">
        <v>131</v>
      </c>
      <c r="D1" t="s">
        <v>179</v>
      </c>
      <c r="E1" t="s">
        <v>180</v>
      </c>
    </row>
    <row r="2" spans="1:5" x14ac:dyDescent="0.3">
      <c r="A2" t="s">
        <v>181</v>
      </c>
      <c r="B2">
        <v>4</v>
      </c>
      <c r="C2">
        <v>5</v>
      </c>
      <c r="D2">
        <v>5555555</v>
      </c>
      <c r="E2" t="s">
        <v>189</v>
      </c>
    </row>
    <row r="3" spans="1:5" x14ac:dyDescent="0.3">
      <c r="A3" t="s">
        <v>190</v>
      </c>
      <c r="B3">
        <v>12</v>
      </c>
      <c r="C3">
        <v>5</v>
      </c>
      <c r="D3" t="s">
        <v>191</v>
      </c>
      <c r="E3">
        <v>65876558</v>
      </c>
    </row>
    <row r="4" spans="1:5" x14ac:dyDescent="0.3">
      <c r="A4" t="s">
        <v>192</v>
      </c>
      <c r="B4" t="s">
        <v>193</v>
      </c>
      <c r="C4">
        <v>0</v>
      </c>
      <c r="D4">
        <v>0</v>
      </c>
      <c r="E4">
        <v>0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E4D2838-98D8-4272-8B3F-4432433D835A}">
  <dimension ref="B2:I10"/>
  <sheetViews>
    <sheetView workbookViewId="0">
      <selection activeCell="C2" sqref="C2:E2"/>
    </sheetView>
  </sheetViews>
  <sheetFormatPr defaultRowHeight="14.4" x14ac:dyDescent="0.3"/>
  <cols>
    <col min="2" max="2" width="9.88671875" customWidth="1"/>
    <col min="9" max="9" width="12.6640625" customWidth="1"/>
  </cols>
  <sheetData>
    <row r="2" spans="2:9" x14ac:dyDescent="0.3">
      <c r="B2" t="s">
        <v>177</v>
      </c>
      <c r="C2" s="56"/>
      <c r="D2" s="56"/>
      <c r="E2" s="56"/>
      <c r="F2" t="str">
        <f>IF(C2="","""",1)</f>
        <v>"</v>
      </c>
      <c r="I2">
        <f>C2</f>
        <v>0</v>
      </c>
    </row>
    <row r="3" spans="2:9" x14ac:dyDescent="0.3">
      <c r="I3">
        <f>C4</f>
        <v>0</v>
      </c>
    </row>
    <row r="4" spans="2:9" x14ac:dyDescent="0.3">
      <c r="B4" t="s">
        <v>178</v>
      </c>
      <c r="C4" s="56"/>
      <c r="D4" s="56"/>
      <c r="E4" s="56"/>
      <c r="F4" t="str">
        <f>IF(C4="","""",1)</f>
        <v>"</v>
      </c>
      <c r="I4">
        <f>C6</f>
        <v>0</v>
      </c>
    </row>
    <row r="5" spans="2:9" x14ac:dyDescent="0.3">
      <c r="I5">
        <f>C8</f>
        <v>0</v>
      </c>
    </row>
    <row r="6" spans="2:9" x14ac:dyDescent="0.3">
      <c r="B6" t="s">
        <v>131</v>
      </c>
      <c r="C6" s="56"/>
      <c r="D6" s="56"/>
      <c r="E6" s="56"/>
      <c r="F6" t="str">
        <f>IF(C6="","""",1)</f>
        <v>"</v>
      </c>
      <c r="I6">
        <f>C10</f>
        <v>0</v>
      </c>
    </row>
    <row r="8" spans="2:9" x14ac:dyDescent="0.3">
      <c r="B8" t="s">
        <v>179</v>
      </c>
      <c r="C8" s="56"/>
      <c r="D8" s="56"/>
      <c r="E8" s="56"/>
      <c r="F8" t="str">
        <f>IF(C8="","""",1)</f>
        <v>"</v>
      </c>
      <c r="I8">
        <f>COUNTA(C2,C4,C6,C8,C10)</f>
        <v>0</v>
      </c>
    </row>
    <row r="10" spans="2:9" x14ac:dyDescent="0.3">
      <c r="B10" t="s">
        <v>180</v>
      </c>
      <c r="C10" s="56"/>
      <c r="D10" s="56"/>
      <c r="E10" s="56"/>
      <c r="F10" t="str">
        <f>IF(C10="","""",1)</f>
        <v>"</v>
      </c>
    </row>
  </sheetData>
  <mergeCells count="5">
    <mergeCell ref="C10:E10"/>
    <mergeCell ref="C8:E8"/>
    <mergeCell ref="C6:E6"/>
    <mergeCell ref="C4:E4"/>
    <mergeCell ref="C2:E2"/>
  </mergeCells>
  <conditionalFormatting sqref="C2:E2 C4:E4 C6:E6 C8:E8 C10:E10">
    <cfRule type="containsBlanks" dxfId="2" priority="5">
      <formula>LEN(TRIM(C2))=0</formula>
    </cfRule>
  </conditionalFormatting>
  <conditionalFormatting sqref="C2:F2 C4:F4 C6:F6 C8:F8 C10:F10">
    <cfRule type="notContainsBlanks" dxfId="1" priority="3">
      <formula>LEN(TRIM(C2))&gt;0</formula>
    </cfRule>
  </conditionalFormatting>
  <conditionalFormatting sqref="F2 F4 F6 F8 F10">
    <cfRule type="notContainsBlanks" dxfId="0" priority="2">
      <formula>LEN(TRIM(F2))&gt;0</formula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8" r:id="rId3" name="Button 2">
              <controlPr defaultSize="0" print="0" autoFill="0" autoPict="0" macro="[0]!Macro1">
                <anchor moveWithCells="1" sizeWithCells="1">
                  <from>
                    <xdr:col>2</xdr:col>
                    <xdr:colOff>403860</xdr:colOff>
                    <xdr:row>12</xdr:row>
                    <xdr:rowOff>167640</xdr:rowOff>
                  </from>
                  <to>
                    <xdr:col>5</xdr:col>
                    <xdr:colOff>198120</xdr:colOff>
                    <xdr:row>16</xdr:row>
                    <xdr:rowOff>137160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1" id="{C9189D02-7C22-4FAE-A846-1FF4D21F87EE}">
            <x14:iconSet showValue="0" custom="1">
              <x14:cfvo type="percent">
                <xm:f>0</xm:f>
              </x14:cfvo>
              <x14:cfvo type="percent">
                <xm:f>0</xm:f>
              </x14:cfvo>
              <x14:cfvo type="percent">
                <xm:f>1</xm:f>
              </x14:cfvo>
              <x14:cfIcon iconSet="NoIcons" iconId="0"/>
              <x14:cfIcon iconSet="NoIcons" iconId="0"/>
              <x14:cfIcon iconSet="3Symbols" iconId="2"/>
            </x14:iconSet>
          </x14:cfRule>
          <xm:sqref>F2 F4 F6 F8 F10</xm:sqref>
        </x14:conditionalFormatting>
      </x14:conditionalFormatting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E2786F-4EDC-4AC0-B420-68C2465B382C}">
  <dimension ref="A1:J13"/>
  <sheetViews>
    <sheetView workbookViewId="0">
      <selection activeCell="M25" sqref="M25"/>
    </sheetView>
  </sheetViews>
  <sheetFormatPr defaultRowHeight="14.4" x14ac:dyDescent="0.3"/>
  <sheetData>
    <row r="1" spans="1:10" x14ac:dyDescent="0.3">
      <c r="A1" s="1" t="s">
        <v>131</v>
      </c>
      <c r="B1" s="1" t="s">
        <v>0</v>
      </c>
      <c r="C1" s="1" t="s">
        <v>132</v>
      </c>
      <c r="D1" s="1" t="s">
        <v>115</v>
      </c>
      <c r="E1" s="1" t="s">
        <v>133</v>
      </c>
      <c r="F1" s="1" t="s">
        <v>154</v>
      </c>
    </row>
    <row r="2" spans="1:10" x14ac:dyDescent="0.3">
      <c r="A2" s="38">
        <v>2</v>
      </c>
      <c r="B2" s="38" t="s">
        <v>141</v>
      </c>
      <c r="C2" s="38">
        <v>97</v>
      </c>
      <c r="D2" s="38">
        <v>36</v>
      </c>
      <c r="E2" s="38">
        <v>47</v>
      </c>
      <c r="F2" s="38">
        <v>13</v>
      </c>
    </row>
    <row r="3" spans="1:10" x14ac:dyDescent="0.3">
      <c r="A3" s="38">
        <v>4</v>
      </c>
      <c r="B3" s="38" t="s">
        <v>142</v>
      </c>
      <c r="C3" s="38">
        <v>69</v>
      </c>
      <c r="D3" s="38">
        <v>85</v>
      </c>
      <c r="E3" s="38">
        <v>86</v>
      </c>
      <c r="F3" s="38">
        <v>51</v>
      </c>
      <c r="J3" s="1" t="s">
        <v>184</v>
      </c>
    </row>
    <row r="4" spans="1:10" x14ac:dyDescent="0.3">
      <c r="A4" s="38">
        <v>1</v>
      </c>
      <c r="B4" s="38" t="s">
        <v>142</v>
      </c>
      <c r="C4" s="38">
        <v>55</v>
      </c>
      <c r="D4" s="38">
        <v>72</v>
      </c>
      <c r="E4" s="38">
        <v>41</v>
      </c>
      <c r="F4" s="38">
        <v>53</v>
      </c>
      <c r="H4" s="1" t="s">
        <v>182</v>
      </c>
      <c r="J4" s="1">
        <f>COUNTIFS(C2:C10,"&gt;20",B2:B10,"Ruchi")</f>
        <v>2</v>
      </c>
    </row>
    <row r="5" spans="1:10" x14ac:dyDescent="0.3">
      <c r="A5" s="38">
        <v>7</v>
      </c>
      <c r="B5" s="38" t="s">
        <v>143</v>
      </c>
      <c r="C5" s="38">
        <v>75</v>
      </c>
      <c r="D5" s="38">
        <v>68</v>
      </c>
      <c r="E5" s="38">
        <v>46</v>
      </c>
      <c r="F5" s="38">
        <v>11</v>
      </c>
      <c r="H5" s="1">
        <f>MATCH(B9,B2:B10,1)</f>
        <v>8</v>
      </c>
    </row>
    <row r="6" spans="1:10" x14ac:dyDescent="0.3">
      <c r="A6" s="38">
        <v>6</v>
      </c>
      <c r="B6" s="38" t="s">
        <v>144</v>
      </c>
      <c r="C6" s="38">
        <v>55</v>
      </c>
      <c r="D6" s="38">
        <v>31</v>
      </c>
      <c r="E6" s="38">
        <v>56</v>
      </c>
      <c r="F6" s="38">
        <v>93</v>
      </c>
      <c r="J6" s="1" t="s">
        <v>185</v>
      </c>
    </row>
    <row r="7" spans="1:10" x14ac:dyDescent="0.3">
      <c r="A7" s="38">
        <v>3</v>
      </c>
      <c r="B7" s="38" t="s">
        <v>145</v>
      </c>
      <c r="C7" s="38">
        <v>84</v>
      </c>
      <c r="D7" s="38">
        <v>57</v>
      </c>
      <c r="E7" s="38">
        <v>68</v>
      </c>
      <c r="F7" s="38">
        <v>30</v>
      </c>
      <c r="H7" s="1" t="s">
        <v>183</v>
      </c>
      <c r="J7" s="1">
        <f>COUNT(C2:C10)</f>
        <v>9</v>
      </c>
    </row>
    <row r="8" spans="1:10" x14ac:dyDescent="0.3">
      <c r="A8" s="38">
        <v>5</v>
      </c>
      <c r="B8" s="38" t="s">
        <v>146</v>
      </c>
      <c r="C8" s="38">
        <v>18</v>
      </c>
      <c r="D8" s="38">
        <v>46</v>
      </c>
      <c r="E8" s="38">
        <v>51</v>
      </c>
      <c r="F8" s="38">
        <v>63</v>
      </c>
      <c r="H8" s="1" t="str">
        <f>INDEX(A1:F10,4,2)</f>
        <v>Ruchi</v>
      </c>
    </row>
    <row r="9" spans="1:10" x14ac:dyDescent="0.3">
      <c r="A9" s="38">
        <v>8</v>
      </c>
      <c r="B9" s="38" t="s">
        <v>147</v>
      </c>
      <c r="C9" s="38">
        <v>93</v>
      </c>
      <c r="D9" s="38">
        <v>93</v>
      </c>
      <c r="E9" s="38">
        <v>31</v>
      </c>
      <c r="F9" s="38">
        <v>93</v>
      </c>
      <c r="J9" t="s">
        <v>186</v>
      </c>
    </row>
    <row r="10" spans="1:10" x14ac:dyDescent="0.3">
      <c r="A10" s="38">
        <v>9</v>
      </c>
      <c r="B10" s="38" t="s">
        <v>148</v>
      </c>
      <c r="C10" s="38">
        <v>33</v>
      </c>
      <c r="D10" s="38">
        <v>89</v>
      </c>
      <c r="E10" s="38">
        <v>55</v>
      </c>
      <c r="F10" s="38">
        <v>46</v>
      </c>
      <c r="J10">
        <f>COUNTIF(C2:C10,"&gt;=40")</f>
        <v>7</v>
      </c>
    </row>
    <row r="12" spans="1:10" x14ac:dyDescent="0.3">
      <c r="J12" s="1" t="s">
        <v>187</v>
      </c>
    </row>
    <row r="13" spans="1:10" x14ac:dyDescent="0.3">
      <c r="J13" s="1">
        <f>COUNTA(C10,D10,E10,F10)</f>
        <v>4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11</vt:i4>
      </vt:variant>
      <vt:variant>
        <vt:lpstr>Named Ranges</vt:lpstr>
      </vt:variant>
      <vt:variant>
        <vt:i4>2</vt:i4>
      </vt:variant>
    </vt:vector>
  </HeadingPairs>
  <TitlesOfParts>
    <vt:vector size="13" baseType="lpstr">
      <vt:lpstr>Sheet1</vt:lpstr>
      <vt:lpstr>Sheet2</vt:lpstr>
      <vt:lpstr>Sheet3</vt:lpstr>
      <vt:lpstr>Sheet4</vt:lpstr>
      <vt:lpstr>Sheet5</vt:lpstr>
      <vt:lpstr>Sheet11</vt:lpstr>
      <vt:lpstr>Sheet6</vt:lpstr>
      <vt:lpstr>Sheet7</vt:lpstr>
      <vt:lpstr>Sheet9</vt:lpstr>
      <vt:lpstr>Sheet8</vt:lpstr>
      <vt:lpstr>Sheet10</vt:lpstr>
      <vt:lpstr>Sheet1!Criteria</vt:lpstr>
      <vt:lpstr>Sheet1!Extract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Jai ram</dc:creator>
  <cp:lastModifiedBy>Jai ram</cp:lastModifiedBy>
  <dcterms:created xsi:type="dcterms:W3CDTF">2023-11-19T11:59:01Z</dcterms:created>
  <dcterms:modified xsi:type="dcterms:W3CDTF">2023-12-07T10:33:36Z</dcterms:modified>
</cp:coreProperties>
</file>